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133" documentId="11_AD4D5CB4E552A5DACE1C647E305F51585ADEDD82" xr6:coauthVersionLast="47" xr6:coauthVersionMax="47" xr10:uidLastSave="{AD44394B-92B8-4891-B60B-03B6C6C7AC0C}"/>
  <bookViews>
    <workbookView xWindow="41580" yWindow="2910" windowWidth="15465" windowHeight="11175"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1" l="1"/>
  <c r="D3" i="1"/>
  <c r="D4" i="1"/>
  <c r="D5" i="1"/>
  <c r="D6" i="1"/>
  <c r="D7" i="1"/>
  <c r="D8" i="1"/>
  <c r="D9" i="1"/>
  <c r="D10" i="1"/>
  <c r="D2" i="1"/>
</calcChain>
</file>

<file path=xl/sharedStrings.xml><?xml version="1.0" encoding="utf-8"?>
<sst xmlns="http://schemas.openxmlformats.org/spreadsheetml/2006/main" count="1666" uniqueCount="1550">
  <si>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</si>
  <si>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</si>
  <si>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</si>
  <si>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</si>
  <si>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</si>
  <si>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</si>
  <si>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</si>
  <si>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</si>
  <si>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</si>
  <si>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</si>
  <si>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</si>
  <si>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</si>
  <si>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</si>
  <si>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</si>
  <si>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</si>
  <si>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</si>
  <si>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</si>
  <si>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</si>
  <si>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</si>
  <si>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</si>
  <si>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</si>
  <si>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</si>
  <si>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</si>
  <si>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</si>
  <si>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</si>
  <si>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</si>
  <si>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</si>
  <si>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</si>
  <si>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</si>
  <si>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</si>
  <si>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</si>
  <si>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</si>
  <si>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</si>
  <si>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</si>
  <si>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</si>
  <si>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</si>
  <si>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</si>
  <si>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</si>
  <si>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</si>
  <si>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</si>
  <si>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</si>
  <si>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</si>
  <si>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</si>
  <si>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</si>
  <si>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</si>
  <si>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</si>
  <si>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</si>
  <si>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</si>
  <si>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</si>
  <si>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</si>
  <si>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</si>
  <si>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</si>
  <si>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</si>
  <si>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</si>
  <si>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</si>
  <si>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</si>
  <si>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</si>
  <si>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</si>
  <si>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</si>
  <si>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</si>
  <si>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</si>
  <si>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</si>
  <si>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</si>
  <si>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</si>
  <si>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</si>
  <si>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</si>
  <si>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</si>
  <si>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</si>
  <si>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</si>
  <si>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</si>
  <si>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</si>
  <si>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</si>
  <si>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</si>
  <si>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</si>
  <si>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</si>
  <si>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</si>
  <si>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</si>
  <si>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</si>
  <si>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</si>
  <si>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</si>
  <si>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</si>
  <si>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</si>
  <si>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</si>
  <si>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</si>
  <si>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</si>
  <si>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</si>
  <si>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</si>
  <si>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</si>
  <si>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</si>
  <si>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</si>
  <si>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</si>
  <si>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</si>
  <si>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</si>
  <si>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</si>
  <si>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</si>
  <si>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</si>
  <si>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</si>
  <si>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</si>
  <si>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</si>
  <si>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</si>
  <si>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</si>
  <si>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</si>
  <si>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</si>
  <si>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</si>
  <si>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</si>
  <si>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</si>
  <si>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</si>
  <si>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</si>
  <si>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</si>
  <si>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</si>
  <si>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</si>
  <si>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</si>
  <si>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</si>
  <si>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</si>
  <si>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</si>
  <si>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</si>
  <si>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</si>
  <si>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</si>
  <si>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</si>
  <si>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</si>
  <si>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</si>
  <si>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</si>
  <si>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</si>
  <si>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</si>
  <si>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</si>
  <si>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</si>
  <si>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</si>
  <si>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</si>
  <si>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</si>
  <si>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</si>
  <si>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</si>
  <si>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</si>
  <si>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</si>
  <si>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</si>
  <si>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</si>
  <si>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</si>
  <si>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</si>
  <si>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</si>
  <si>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</si>
  <si>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</si>
  <si>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</si>
  <si>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</si>
  <si>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</si>
  <si>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</si>
  <si>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</si>
  <si>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</si>
  <si>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</si>
  <si>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</si>
  <si>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</si>
  <si>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</si>
  <si>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</si>
  <si>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</si>
  <si>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</si>
  <si>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</si>
  <si>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</si>
  <si>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</si>
  <si>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</si>
  <si>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</si>
  <si>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</si>
  <si>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</si>
  <si>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</si>
  <si>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</si>
  <si>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</si>
  <si>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</si>
  <si>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</si>
  <si>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</si>
  <si>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</si>
  <si>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</si>
  <si>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</si>
  <si>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</si>
  <si>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</si>
  <si>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</si>
  <si>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</si>
  <si>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</si>
  <si>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</si>
  <si>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</si>
  <si>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</si>
  <si>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</si>
  <si>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</si>
  <si>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</si>
  <si>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</si>
  <si>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</si>
  <si>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</si>
  <si>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</si>
  <si>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</si>
  <si>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</si>
  <si>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</si>
  <si>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</si>
  <si>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</si>
  <si>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</si>
  <si>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</si>
  <si>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</si>
  <si>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</si>
  <si>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</si>
  <si>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</si>
  <si>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</si>
  <si>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</si>
  <si>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</si>
  <si>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</si>
  <si>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</si>
  <si>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</si>
  <si>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</si>
  <si>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</si>
  <si>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</si>
  <si>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</si>
  <si>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</si>
  <si>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</si>
  <si>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</si>
  <si>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</si>
  <si>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</si>
  <si>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</si>
  <si>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</si>
  <si>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</si>
  <si>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</si>
  <si>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</si>
  <si>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</si>
  <si>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</si>
  <si>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</si>
  <si>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</si>
  <si>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</si>
  <si>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</si>
  <si>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</si>
  <si>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</si>
  <si>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</si>
  <si>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</si>
  <si>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</si>
  <si>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</si>
  <si>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</si>
  <si>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</si>
  <si>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</si>
  <si>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</si>
  <si>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</si>
  <si>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</si>
  <si>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</si>
  <si>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</si>
  <si>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</si>
  <si>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</si>
  <si>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</si>
  <si>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</si>
  <si>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</si>
  <si>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</si>
  <si>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</si>
  <si>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</si>
  <si>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</si>
  <si>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</si>
  <si>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</si>
  <si>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</si>
  <si>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</si>
  <si>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</si>
  <si>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</si>
  <si>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</si>
  <si>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</si>
  <si>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</si>
  <si>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</si>
  <si>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</si>
  <si>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</si>
  <si>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</si>
  <si>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</si>
  <si>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</si>
  <si>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</si>
  <si>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</si>
  <si>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</si>
  <si>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</si>
  <si>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</si>
  <si>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</si>
  <si>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</si>
  <si>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</si>
  <si>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</si>
  <si>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</si>
  <si>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</si>
  <si>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</si>
  <si>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</si>
  <si>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</si>
  <si>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</si>
  <si>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</si>
  <si>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</si>
  <si>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</si>
  <si>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</si>
  <si>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</si>
  <si>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</si>
  <si>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</si>
  <si>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</si>
  <si>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</si>
  <si>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</si>
  <si>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</si>
  <si>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</si>
  <si>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</si>
  <si>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</si>
  <si>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</si>
  <si>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</si>
  <si>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</si>
  <si>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</si>
  <si>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</si>
  <si>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</si>
  <si>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</si>
  <si>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</si>
  <si>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</si>
  <si>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</si>
  <si>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</si>
  <si>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</si>
  <si>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</si>
  <si>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</si>
  <si>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</si>
  <si>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</si>
  <si>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</si>
  <si>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</si>
  <si>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</si>
  <si>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</si>
  <si>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</si>
  <si>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</si>
  <si>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</si>
  <si>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</si>
  <si>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</si>
  <si>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</si>
  <si>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</si>
  <si>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</si>
  <si>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</si>
  <si>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</si>
  <si>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</si>
  <si>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</si>
  <si>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</si>
  <si>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</si>
  <si>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</si>
  <si>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</si>
  <si>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</si>
  <si>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</si>
  <si>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</si>
  <si>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</si>
  <si>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</si>
  <si>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</si>
  <si>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</si>
  <si>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</si>
  <si>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</si>
  <si>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</si>
  <si>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</si>
  <si>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</si>
  <si>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</si>
  <si>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</si>
  <si>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</si>
  <si>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</si>
  <si>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</si>
  <si>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</si>
  <si>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</si>
  <si>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</si>
  <si>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</si>
  <si>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</si>
  <si>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</si>
  <si>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</si>
  <si>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</si>
  <si>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</si>
  <si>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</si>
  <si>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</si>
  <si>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</si>
  <si>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</si>
  <si>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</si>
  <si>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</si>
  <si>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</si>
  <si>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</si>
  <si>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</si>
  <si>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</si>
  <si>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</si>
  <si>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</si>
  <si>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</si>
  <si>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</si>
  <si>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</si>
  <si>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</si>
  <si>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</si>
  <si>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</si>
  <si>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</si>
  <si>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</si>
  <si>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</si>
  <si>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</si>
  <si>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</si>
  <si>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</si>
  <si>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</si>
  <si>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</si>
  <si>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</si>
  <si>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</si>
  <si>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</si>
  <si>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</si>
  <si>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</si>
  <si>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</si>
  <si>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</si>
  <si>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</si>
  <si>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</si>
  <si>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</si>
  <si>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</si>
  <si>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</si>
  <si>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</si>
  <si>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</si>
  <si>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</si>
  <si>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</si>
  <si>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</si>
  <si>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</si>
  <si>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</si>
  <si>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</si>
  <si>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</si>
  <si>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</si>
  <si>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</si>
  <si>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</si>
  <si>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</si>
  <si>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</si>
  <si>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</si>
  <si>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</si>
  <si>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</si>
  <si>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</si>
  <si>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</si>
  <si>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</si>
  <si>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</si>
  <si>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</si>
  <si>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</si>
  <si>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</si>
  <si>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</si>
  <si>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</si>
  <si>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</si>
  <si>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</si>
  <si>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</si>
  <si>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</si>
  <si>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</si>
  <si>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</si>
  <si>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</si>
  <si>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</si>
  <si>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</si>
  <si>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</si>
  <si>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</si>
  <si>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</si>
  <si>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</si>
  <si>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</si>
  <si>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</si>
  <si>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</si>
  <si>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</si>
  <si>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</si>
  <si>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</si>
  <si>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</si>
  <si>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</si>
  <si>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</si>
  <si>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</si>
  <si>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</si>
  <si>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</si>
  <si>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</si>
  <si>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</si>
  <si>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</si>
  <si>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</si>
  <si>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</si>
  <si>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</si>
  <si>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</si>
  <si>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</si>
  <si>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</si>
  <si>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</si>
  <si>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</si>
  <si>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</si>
  <si>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</si>
  <si>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</si>
  <si>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</si>
  <si>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</si>
  <si>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</si>
  <si>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</si>
  <si>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</si>
  <si>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</si>
  <si>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</si>
  <si>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</si>
  <si>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</si>
  <si>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</si>
  <si>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</si>
  <si>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</si>
  <si>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</si>
  <si>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</si>
  <si>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</si>
  <si>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</si>
  <si>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</si>
  <si>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</si>
  <si>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</si>
  <si>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</si>
  <si>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</si>
  <si>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</si>
  <si>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</si>
  <si>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</si>
  <si>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</si>
  <si>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</si>
  <si>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</si>
  <si>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</si>
  <si>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</si>
  <si>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</si>
  <si>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</si>
  <si>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</si>
  <si>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</si>
  <si>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</si>
  <si>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</si>
  <si>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</si>
  <si>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</si>
  <si>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</si>
  <si>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</si>
  <si>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</si>
  <si>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</si>
  <si>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</si>
  <si>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</si>
  <si>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</si>
  <si>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</si>
  <si>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</si>
  <si>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</si>
  <si>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</si>
  <si>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</si>
  <si>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</si>
  <si>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</si>
  <si>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</si>
  <si>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</si>
  <si>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</si>
  <si>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</si>
  <si>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</si>
  <si>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</si>
  <si>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</si>
  <si>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</si>
  <si>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</si>
  <si>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</si>
  <si>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</si>
  <si>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</si>
  <si>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</si>
  <si>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</si>
  <si>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</si>
  <si>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</si>
  <si>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</si>
  <si>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</si>
  <si>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</si>
  <si>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</si>
  <si>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</si>
  <si>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</si>
  <si>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</si>
  <si>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</si>
  <si>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</si>
  <si>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</si>
  <si>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</si>
  <si>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</si>
  <si>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</si>
  <si>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</si>
  <si>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</si>
  <si>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</si>
  <si>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</si>
  <si>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</si>
  <si>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</si>
  <si>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</si>
  <si>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</si>
  <si>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</si>
  <si>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</si>
  <si>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</si>
  <si>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</si>
  <si>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</si>
  <si>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</si>
  <si>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</si>
  <si>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</si>
  <si>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</si>
  <si>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</si>
  <si>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</si>
  <si>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</si>
  <si>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</si>
  <si>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</si>
  <si>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</si>
  <si>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</si>
  <si>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</si>
  <si>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</si>
  <si>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</si>
  <si>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</si>
  <si>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</si>
  <si>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</si>
  <si>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</si>
  <si>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</si>
  <si>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</si>
  <si>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</si>
  <si>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</si>
  <si>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</si>
  <si>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</si>
  <si>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</si>
  <si>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</si>
  <si>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</si>
  <si>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</si>
  <si>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</si>
  <si>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</si>
  <si>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</si>
  <si>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</si>
  <si>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</si>
  <si>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</si>
  <si>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</si>
  <si>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</si>
  <si>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</si>
  <si>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</si>
  <si>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</si>
  <si>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</si>
  <si>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</si>
  <si>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</si>
  <si>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</si>
  <si>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</si>
  <si>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</si>
  <si>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</si>
  <si>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</si>
  <si>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</si>
  <si>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</si>
  <si>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</si>
  <si>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</si>
  <si>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</si>
  <si>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</si>
  <si>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</si>
  <si>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</si>
  <si>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</si>
  <si>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</si>
  <si>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</si>
  <si>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</si>
  <si>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</si>
  <si>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</si>
  <si>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</si>
  <si>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</si>
  <si>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</si>
  <si>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</si>
  <si>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</si>
  <si>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</si>
  <si>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</si>
  <si>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</si>
  <si>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</si>
  <si>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</si>
  <si>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</si>
  <si>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</si>
  <si>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</si>
  <si>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</si>
  <si>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</si>
  <si>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</si>
  <si>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</si>
  <si>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</si>
  <si>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</si>
  <si>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</si>
  <si>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</si>
  <si>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</si>
  <si>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</si>
  <si>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</si>
  <si>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</si>
  <si>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</si>
  <si>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</si>
  <si>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</si>
  <si>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</si>
  <si>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</si>
  <si>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</si>
  <si>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</si>
  <si>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</si>
  <si>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</si>
  <si>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</si>
  <si>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</si>
  <si>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</si>
  <si>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</si>
  <si>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</si>
  <si>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</si>
  <si>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</si>
  <si>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</si>
  <si>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</si>
  <si>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</si>
  <si>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</si>
  <si>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</si>
  <si>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</si>
  <si>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</si>
  <si>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</si>
  <si>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</si>
  <si>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</si>
  <si>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</si>
  <si>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</si>
  <si>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</si>
  <si>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</si>
  <si>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</si>
  <si>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</si>
  <si>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</si>
  <si>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</si>
  <si>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</si>
  <si>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</si>
  <si>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</si>
  <si>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</si>
  <si>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</si>
  <si>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</si>
  <si>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</si>
  <si>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</si>
  <si>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</si>
  <si>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</si>
  <si>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</si>
  <si>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</si>
  <si>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</si>
  <si>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</si>
  <si>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</si>
  <si>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</si>
  <si>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</si>
  <si>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</si>
  <si>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</si>
  <si>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</si>
  <si>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</si>
  <si>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</si>
  <si>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</si>
  <si>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</si>
  <si>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</si>
  <si>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</si>
  <si>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</si>
  <si>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</si>
  <si>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</si>
  <si>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</si>
  <si>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</si>
  <si>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</si>
  <si>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</si>
  <si>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</si>
  <si>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</si>
  <si>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</si>
  <si>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</si>
  <si>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</si>
  <si>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</si>
  <si>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</si>
  <si>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</si>
  <si>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</si>
  <si>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</si>
  <si>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</si>
  <si>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</si>
  <si>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</si>
  <si>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</si>
  <si>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</si>
  <si>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</si>
  <si>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</si>
  <si>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</si>
  <si>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</si>
  <si>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</si>
  <si>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</si>
  <si>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</si>
  <si>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</si>
  <si>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</si>
  <si>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</si>
  <si>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</si>
  <si>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</si>
  <si>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</si>
  <si>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</si>
  <si>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</si>
  <si>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</si>
  <si>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</si>
  <si>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</si>
  <si>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</si>
  <si>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</si>
  <si>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</si>
  <si>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</si>
  <si>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</si>
  <si>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</si>
  <si>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</si>
  <si>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</si>
  <si>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</si>
  <si>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</si>
  <si>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</si>
  <si>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</si>
  <si>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</si>
  <si>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</si>
  <si>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</si>
  <si>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</si>
  <si>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</si>
  <si>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</si>
  <si>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</si>
  <si>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</si>
  <si>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</si>
  <si>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</si>
  <si>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</si>
  <si>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</si>
  <si>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</si>
  <si>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</si>
  <si>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</si>
  <si>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</si>
  <si>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</si>
  <si>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</si>
  <si>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</si>
  <si>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</si>
  <si>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</si>
  <si>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</si>
  <si>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</si>
  <si>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</si>
  <si>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</si>
  <si>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</si>
  <si>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</si>
  <si>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</si>
  <si>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</si>
  <si>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</si>
  <si>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</si>
  <si>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</si>
  <si>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</si>
  <si>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</si>
  <si>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</si>
  <si>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</si>
  <si>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</si>
  <si>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</si>
  <si>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</si>
  <si>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</si>
  <si>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</si>
  <si>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</si>
  <si>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</si>
  <si>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</si>
  <si>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</si>
  <si>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</si>
  <si>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</si>
  <si>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</si>
  <si>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</si>
  <si>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</si>
  <si>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</si>
  <si>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</si>
  <si>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</si>
  <si>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</si>
  <si>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</si>
  <si>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</si>
  <si>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</si>
  <si>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</si>
  <si>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</si>
  <si>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</si>
  <si>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</si>
  <si>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</si>
  <si>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</si>
  <si>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</si>
  <si>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</si>
  <si>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</si>
  <si>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</si>
  <si>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</si>
  <si>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</si>
  <si>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</si>
  <si>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</si>
  <si>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</si>
  <si>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</si>
  <si>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</si>
  <si>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</si>
  <si>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</si>
  <si>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</si>
  <si>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</si>
  <si>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</si>
  <si>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</si>
  <si>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</si>
  <si>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</si>
  <si>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</si>
  <si>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</si>
  <si>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</si>
  <si>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</si>
  <si>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</si>
  <si>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</si>
  <si>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</si>
  <si>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</si>
  <si>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</si>
  <si>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</si>
  <si>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</si>
  <si>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</si>
  <si>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</si>
  <si>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</si>
  <si>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</si>
  <si>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</si>
  <si>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</si>
  <si>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</si>
  <si>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</si>
  <si>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</si>
  <si>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</si>
  <si>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</si>
  <si>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</si>
  <si>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</si>
  <si>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</si>
  <si>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</si>
  <si>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</si>
  <si>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</si>
  <si>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</si>
  <si>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</si>
  <si>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</si>
  <si>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</si>
  <si>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</si>
  <si>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</si>
  <si>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</si>
  <si>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</si>
  <si>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</si>
  <si>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</si>
  <si>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</si>
  <si>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</si>
  <si>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</si>
  <si>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</si>
  <si>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</si>
  <si>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</si>
  <si>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</si>
  <si>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</si>
  <si>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</si>
  <si>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</si>
  <si>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</si>
  <si>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</si>
  <si>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</si>
  <si>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</si>
  <si>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</si>
  <si>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</si>
  <si>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</si>
  <si>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</si>
  <si>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</si>
  <si>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</si>
  <si>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</si>
  <si>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</si>
  <si>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</si>
  <si>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</si>
  <si>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</si>
  <si>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</si>
  <si>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</si>
  <si>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</si>
  <si>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</si>
  <si>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</si>
  <si>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</si>
  <si>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</si>
  <si>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</si>
  <si>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</si>
  <si>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</si>
  <si>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</si>
  <si>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</si>
  <si>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</si>
  <si>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</si>
  <si>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</si>
  <si>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</si>
  <si>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</si>
  <si>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</si>
  <si>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</si>
  <si>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</si>
  <si>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</si>
  <si>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</si>
  <si>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</si>
  <si>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</si>
  <si>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</si>
  <si>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</si>
  <si>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</si>
  <si>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</si>
  <si>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</si>
  <si>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</si>
  <si>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</si>
  <si>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</si>
  <si>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</si>
  <si>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</si>
  <si>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</si>
  <si>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</si>
  <si>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</si>
  <si>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</si>
  <si>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</si>
  <si>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</si>
  <si>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</si>
  <si>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</si>
  <si>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</si>
  <si>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</si>
  <si>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</si>
  <si>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</si>
  <si>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</si>
  <si>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</si>
  <si>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</si>
  <si>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</si>
  <si>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</si>
  <si>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</si>
  <si>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</si>
  <si>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</si>
  <si>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</si>
  <si>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</si>
  <si>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</si>
  <si>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</si>
  <si>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</si>
  <si>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</si>
  <si>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</si>
  <si>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</si>
  <si>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</si>
  <si>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</si>
  <si>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</si>
  <si>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</si>
  <si>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</si>
  <si>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</si>
  <si>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</si>
  <si>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</si>
  <si>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</si>
  <si>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</si>
  <si>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</si>
  <si>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</si>
  <si>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</si>
  <si>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</si>
  <si>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</si>
  <si>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</si>
  <si>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</si>
  <si>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</si>
  <si>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</si>
  <si>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</si>
  <si>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</si>
  <si>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</si>
  <si>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</si>
  <si>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</si>
  <si>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</si>
  <si>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</si>
  <si>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</si>
  <si>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</si>
  <si>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</si>
  <si>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</si>
  <si>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</si>
  <si>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</si>
  <si>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</si>
  <si>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</si>
  <si>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</si>
  <si>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</si>
  <si>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</si>
  <si>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</si>
  <si>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</si>
  <si>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</si>
  <si>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</si>
  <si>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</si>
  <si>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</si>
  <si>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</si>
  <si>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</si>
  <si>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</si>
  <si>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</si>
  <si>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</si>
  <si>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</si>
  <si>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</si>
  <si>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</si>
  <si>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</si>
  <si>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</si>
  <si>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</si>
  <si>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</si>
  <si>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</si>
  <si>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</si>
  <si>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</si>
  <si>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</si>
  <si>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</si>
  <si>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</si>
  <si>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</si>
  <si>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</si>
  <si>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</si>
  <si>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</si>
  <si>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</si>
  <si>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</si>
  <si>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</si>
  <si>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</si>
  <si>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</si>
  <si>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</si>
  <si>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</si>
  <si>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</si>
  <si>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</si>
  <si>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</si>
  <si>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</si>
  <si>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</si>
  <si>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</si>
  <si>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</si>
  <si>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</si>
  <si>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</si>
  <si>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</si>
  <si>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</si>
  <si>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</si>
  <si>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</si>
  <si>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</si>
  <si>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</si>
  <si>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</si>
  <si>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</si>
  <si>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</si>
  <si>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</si>
  <si>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</si>
  <si>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</si>
  <si>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</si>
  <si>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</si>
  <si>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</si>
  <si>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</si>
  <si>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</si>
  <si>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</si>
  <si>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</si>
  <si>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</si>
  <si>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</si>
  <si>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</si>
  <si>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</si>
  <si>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</si>
  <si>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</si>
  <si>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</si>
  <si>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</si>
  <si>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</si>
  <si>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</si>
  <si>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</si>
  <si>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</si>
  <si>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</si>
  <si>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</si>
  <si>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</si>
  <si>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</si>
  <si>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</si>
  <si>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</si>
  <si>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</si>
  <si>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</si>
  <si>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</si>
  <si>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</si>
  <si>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</si>
  <si>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</si>
  <si>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</si>
  <si>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</si>
  <si>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</si>
  <si>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</si>
  <si>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</si>
  <si>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</si>
  <si>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</si>
  <si>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</si>
  <si>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</si>
  <si>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</si>
  <si>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</si>
  <si>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</si>
  <si>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</si>
  <si>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</si>
  <si>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</si>
  <si>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</si>
  <si>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</si>
  <si>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</si>
  <si>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</si>
  <si>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</si>
  <si>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</si>
  <si>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</si>
  <si>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</si>
  <si>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</si>
  <si>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</si>
  <si>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</si>
  <si>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</si>
  <si>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</si>
  <si>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</si>
  <si>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</si>
  <si>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</si>
  <si>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</si>
  <si>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</si>
  <si>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</si>
  <si>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</si>
  <si>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</si>
  <si>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</si>
  <si>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</si>
  <si>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</si>
  <si>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</si>
  <si>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</si>
  <si>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</si>
  <si>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</si>
  <si>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</si>
  <si>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</si>
  <si>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</si>
  <si>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</si>
  <si>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</si>
  <si>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</si>
  <si>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</si>
  <si>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</si>
  <si>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</si>
  <si>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</si>
  <si>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</si>
  <si>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</si>
  <si>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</si>
  <si>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</si>
  <si>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</si>
  <si>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</si>
  <si>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</si>
  <si>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</si>
  <si>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</si>
  <si>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</si>
  <si>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</si>
  <si>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</si>
  <si>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</si>
  <si>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</si>
  <si>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</si>
  <si>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</si>
  <si>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</si>
  <si>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</si>
  <si>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</si>
  <si>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</si>
  <si>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</si>
  <si>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</si>
  <si>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</si>
  <si>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</si>
  <si>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</si>
  <si>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</si>
  <si>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</si>
  <si>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</si>
  <si>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</si>
  <si>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</si>
  <si>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</si>
  <si>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</si>
  <si>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</si>
  <si>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</si>
  <si>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</si>
  <si>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</si>
  <si>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</si>
  <si>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</si>
  <si>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</si>
  <si>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</si>
  <si>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</si>
  <si>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</si>
  <si>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</si>
  <si>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</si>
  <si>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</si>
  <si>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</si>
  <si>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</si>
  <si>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</si>
  <si>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</si>
  <si>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</si>
  <si>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</si>
  <si>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</si>
  <si>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</si>
  <si>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</si>
  <si>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</si>
  <si>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</si>
  <si>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</si>
  <si>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</si>
  <si>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</si>
  <si>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</si>
  <si>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</si>
  <si>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</si>
  <si>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</si>
  <si>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</si>
  <si>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</si>
  <si>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</si>
  <si>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</si>
  <si>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</si>
  <si>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</si>
  <si>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</si>
  <si>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</si>
  <si>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</si>
  <si>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</si>
  <si>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</si>
  <si>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</si>
  <si>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</si>
  <si>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</si>
  <si>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</si>
  <si>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</si>
  <si>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</si>
  <si>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</si>
  <si>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</si>
  <si>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</si>
  <si>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</si>
  <si>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</si>
  <si>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</si>
  <si>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</si>
  <si>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</si>
  <si>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</si>
  <si>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</si>
  <si>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</si>
  <si>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</si>
  <si>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</si>
  <si>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</si>
  <si>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</si>
  <si>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</si>
  <si>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</si>
  <si>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</si>
  <si>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</si>
  <si>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</si>
  <si>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</si>
  <si>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</si>
  <si>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</si>
  <si>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</si>
  <si>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</si>
  <si>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</si>
  <si>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</si>
  <si>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</si>
  <si>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</si>
  <si>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</si>
  <si>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</si>
  <si>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</si>
  <si>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</si>
  <si>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</si>
  <si>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</si>
  <si>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</si>
  <si>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</si>
  <si>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</si>
  <si>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</si>
  <si>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</si>
  <si>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</si>
  <si>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</si>
  <si>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</si>
  <si>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</si>
  <si>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</si>
  <si>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</si>
  <si>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</si>
  <si>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</si>
  <si>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</si>
  <si>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</si>
  <si>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</si>
  <si>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</si>
  <si>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</si>
  <si>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</si>
  <si>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</si>
  <si>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</si>
  <si>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</si>
  <si>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</si>
  <si>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</si>
  <si>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</si>
  <si>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</si>
  <si>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</si>
  <si>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</si>
  <si>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</si>
  <si>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</si>
  <si>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</si>
  <si>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</si>
  <si>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</si>
  <si>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</si>
  <si>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</si>
  <si>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</si>
  <si>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</si>
  <si>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</si>
  <si>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</si>
  <si>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</si>
  <si>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</si>
  <si>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</si>
  <si>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</si>
  <si>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</si>
  <si>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</si>
  <si>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</si>
  <si>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</si>
  <si>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</si>
  <si>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</si>
  <si>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</si>
  <si>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</si>
  <si>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</si>
  <si>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</si>
  <si>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</si>
  <si>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</si>
  <si>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</si>
  <si>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</si>
  <si>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</si>
  <si>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</si>
  <si>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</si>
  <si>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</si>
  <si>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</si>
  <si>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</si>
  <si>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</si>
  <si>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</si>
  <si>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</si>
  <si>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</si>
  <si>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</si>
  <si>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</si>
  <si>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</si>
  <si>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</si>
  <si>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</si>
  <si>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</si>
  <si>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</si>
  <si>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</si>
  <si>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</si>
  <si>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</si>
  <si>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</si>
  <si>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</si>
  <si>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</si>
  <si>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</si>
  <si>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</si>
  <si>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</si>
  <si>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</si>
  <si>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</si>
  <si>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</si>
  <si>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</si>
  <si>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</si>
  <si>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</si>
  <si>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</si>
  <si>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</si>
  <si>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</si>
  <si>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</si>
  <si>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</si>
  <si>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</si>
  <si>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</si>
  <si>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</si>
  <si>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</si>
  <si>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</si>
  <si>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</si>
  <si>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</si>
  <si>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</si>
  <si>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</si>
  <si>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</si>
  <si>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</si>
  <si>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</si>
  <si>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</si>
  <si>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</si>
  <si>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</si>
  <si>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</si>
  <si>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</si>
  <si>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</si>
  <si>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</si>
  <si>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</si>
  <si>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</si>
  <si>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</si>
  <si>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</si>
  <si>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</si>
  <si>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</si>
  <si>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</si>
  <si>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</si>
  <si>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</si>
  <si>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</si>
  <si>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</si>
  <si>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</si>
  <si>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</si>
  <si>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</si>
  <si>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</si>
  <si>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</si>
  <si>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</si>
  <si>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</si>
  <si>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</si>
  <si>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</si>
  <si>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</si>
  <si>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</si>
  <si>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</si>
  <si>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</si>
  <si>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</si>
  <si>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</si>
  <si>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</si>
  <si>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</si>
  <si>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</si>
  <si>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</si>
  <si>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</si>
  <si>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</si>
  <si>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</si>
  <si>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</si>
  <si>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</si>
  <si>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</si>
  <si>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</si>
  <si>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</si>
  <si>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</si>
  <si>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</si>
  <si>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</si>
  <si>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</si>
  <si>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</si>
  <si>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</si>
  <si>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</si>
  <si>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</si>
  <si>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</si>
  <si>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</si>
  <si>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</si>
  <si>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</si>
  <si>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</si>
  <si>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</si>
  <si>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</si>
  <si>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</si>
  <si>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</si>
  <si>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</si>
  <si>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</si>
  <si>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</si>
  <si>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</si>
  <si>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</si>
  <si>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</si>
  <si>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</si>
  <si>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</si>
  <si>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</si>
  <si>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</si>
  <si>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</si>
  <si>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</si>
  <si>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</si>
  <si>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</si>
  <si>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</si>
  <si>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</si>
  <si>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</si>
  <si>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</si>
  <si>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</si>
  <si>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</si>
  <si>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</si>
  <si>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</si>
  <si>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</si>
  <si>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</si>
  <si>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</si>
  <si>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</si>
  <si>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</si>
  <si>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</si>
  <si>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LEARNING AND INDIVIDUAL DIFFERENCES</t>
  </si>
  <si>
    <t>review</t>
  </si>
  <si>
    <t>meta</t>
  </si>
  <si>
    <t>final_decision</t>
  </si>
  <si>
    <t>book</t>
  </si>
  <si>
    <t>noSEBmeasure</t>
  </si>
  <si>
    <t>exclusion_meta</t>
  </si>
  <si>
    <t>exclude</t>
  </si>
  <si>
    <t>oecd_frame</t>
  </si>
  <si>
    <t>other_frame</t>
  </si>
  <si>
    <t>SEL_frame</t>
  </si>
  <si>
    <t>theoretical</t>
  </si>
  <si>
    <t>Feraco et 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</si>
  <si>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</si>
  <si>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</si>
  <si>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</si>
  <si>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</si>
  <si>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</si>
  <si>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</si>
  <si>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</si>
  <si>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</si>
  <si>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</si>
  <si>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</si>
  <si>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</si>
  <si>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</si>
  <si>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</si>
  <si>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feraco.tommaso@unipd.it</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</si>
  <si>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</si>
  <si>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</si>
  <si>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</si>
  <si>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</si>
  <si>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</si>
  <si>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</si>
  <si>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</si>
  <si>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</si>
  <si>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</si>
  <si>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</si>
  <si>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</si>
  <si>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</si>
  <si>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</si>
  <si>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</si>
  <si>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</si>
  <si>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</si>
  <si>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</si>
  <si>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</si>
  <si>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</si>
  <si>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</si>
  <si>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</si>
  <si>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</si>
  <si>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</si>
  <si>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</si>
  <si>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</si>
  <si>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</si>
  <si>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</si>
  <si>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SOCIAL PSYCHOLOGY OF EDUCATION</t>
  </si>
  <si>
    <t>DISCOVER COMPUTING</t>
  </si>
  <si>
    <t>DIAGNOSTICA</t>
  </si>
  <si>
    <t>JOURNAL OF RESEARCH IN PERSONALITY</t>
  </si>
  <si>
    <t>JOURNAL OF PERSONALITY AND SOCIAL PSYCHOLOGY</t>
  </si>
  <si>
    <t>PROJECT MANAGEMENT JOURNAL</t>
  </si>
  <si>
    <t>FRONTIERS IN PSYCHIATRY</t>
  </si>
  <si>
    <t>Feraco, Tommaso and Bonelli, Roberta and Da Re, Lorenza and Meneghetti, Chiara</t>
  </si>
  <si>
    <t>Wang, Faming and King, Ronnel B.</t>
  </si>
  <si>
    <t>Ichsan, Mochammad Hannats Hanafi and Sik-Lanyi, Cecilia and Guzsvinecz, Tibor</t>
  </si>
  <si>
    <t>Danner, Daniel and Oeljeklaus, Lydia and Saint-Macary, Louise and Lechner, Clemens M.</t>
  </si>
  <si>
    <t>Jauk, Emanuel and Sieber-Frank, Sarah and Hilje, Clara Carvalho and Kanske, Philipp and Steinmayr, Ricarda and Ehrenthal, Johannes C.</t>
  </si>
  <si>
    <t>Xi, Muchen and Jackson, Joshua J.</t>
  </si>
  <si>
    <t>Santos, Jose M. R. C. A. and Freitas, Filipa S. and Fernandes, Gabriela</t>
  </si>
  <si>
    <t>Kramer, Michael D. and Hopwood, Christopher J. and Miller, Travis J. and Bleidorn, Wiebke</t>
  </si>
  <si>
    <t>Yang, Xiaoli and Yan, Junyu and Cui, Ziqian</t>
  </si>
  <si>
    <t>Soft skills in high schools: integrating self-regulated learning and social, emotional, and behavioral skills frameworks</t>
  </si>
  <si>
    <t>Social, emotional, and behavioral (SEB) skills- also known under labels like soft skills, 21st century skills, or social-emotional skills- are considered key factors for students' success, well-being, and social relationships, among others. However, literature on the topic relied on different frameworks and questionable measurement methods. Additionally, they usually did not integrate skills into classical self-regulated learning (SRL) frameworks. To overcome these limitations, we adopted the new integrative SEB framework and measured SEB skills, along with five SRL factors (academic self-efficacy, SRL strategies, mastery learning goals, growth mindset, and achievement emotions) and three outcomes (i.e., self-reported academic achievement, peer acceptance, and life satisfaction). Participants were 5,075 Italian high school students (M = 18.23 years old</t>
  </si>
  <si>
    <t>Socio-emotional skills matter for academic resilience: A global perspective</t>
  </si>
  <si>
    <t>Disadvantaged students generally perform worse than their more advantaged peers. However, some resilient students are able to break from this mold and achieve high levels of academic performance. Rooted in the Big Five Theory, this study examined the extent to which socio-emotional skills (i.e., task performance, openmindedness, collaboration, engagement with others, and emotional regulation) are associated with academic resilience. Participants were 60,722 economically disadvantaged students from 31 countries/regions. Multilevel logistic regression was conducted. The results indicated that the socio-emotional skills of perseverance (task performance), curiosity (open-mindedness), and emotional control (emotional regulation) were positively associated with academic resilience. Surprisingly, cooperation was negatively associated with resilience, while empathy, assertiveness and stress resistance were not significantly associated with resilience. This study enriches the extant literature by demonstrating the critical role of socio-emotional skills in academic resilience. Additionally, it offers potential intervention targets that might be leveraged to promote resilience among disadvantaged populations. Educational relevance statement: Socio-emotional skills play a crucial role in fostering academic resilience across the globe. Students from disadvantaged backgrounds who exhibit higher levels of perseverance (task performance), curiosity (open-mindedness), and emotional control (emotional regulation) are more likely to achieve better academic outcomes. This study highlights the potential of schools to promote academic resilience by developing students' socio-emotional skills.</t>
  </si>
  <si>
    <t>Virtual reality in skill development through user experience and technology advancements</t>
  </si>
  <si>
    <t>New technologies, such as Virtual Reality (VR) / Virtual Environment (VE), which focus on User Experience (UX) to provide more engaging and immersive experiences, can help people grow their skills. Technology advancement is also an essential component of VR development. However, the literature needs to contain more studies on using VR as an assistive tool for skill development. This study aims to explore the impact of VR technological advancements on skill development through UX design taxonomies using a Systematic Literature Review (SLR). Skill development classification was conducted based on social, emotional, and behavioral (SEB) aspects. The selected studies that met the eligibility selection criteria were examined and synthesized. The study's findings highlight the necessity of technology development for VR technology to accomplish UX for skill development, allowing them to become more self-sufficient. This research can enrich researchers and VR developers, particularly software, hardware, and artificial intelligence (AI) experts. More research should be conducted on the long-term use of VR as an assistive device, particularly for those seeking skill improvement to improve their quality of life.</t>
  </si>
  <si>
    <t>The Potential of Soft Skills. Associations Between the Big Five Soft Skills and Career and Academic Success</t>
  </si>
  <si>
    <t>Soft skills are job-related resources associated with emotions, thoughts, and behaviors. The Big Five Soft Skills model describes the five domains: Extraversion (at work), Social Competence (agreeableness at work), Discipline (conscientiousness at work), Resilience (emotional stability at work), and Intellectual Flexibility (openness at work). We used two heterogeneous samples (N = 262 and N = 290) to demonstrate that self-rated soft skills are related to outcomes such as educational attainment, income, health, job satisfaction, turnover intentions, and burnout risk, in some cases beyond cognitive abilities and personality traits. We employed a student sample (N = 262) to show that self-rated soft skills can predict academic grades, even when students are instructed to respond as they would in a job-application situation. The results also show that describing specific facets vs. global domains (e. g., sociability, assertiveness, enthusiasm vs. global extraversion) enables a better prediction of external criteria and a deeper understanding of associations between soft skills and outcome variables.</t>
  </si>
  <si>
    <t>Personality functioning across clinical and nonclinical models: further evidence for conceptual convergence between different traditions and the status of personality functioning as a competence construct</t>
  </si>
  <si>
    <t>Personality functioning (PF) is the central criterion for personality pathology in clinical models. Nonclinical personality models assume emotional intelligence or the general factor of personality as general indicators of adaptiveness. Both are conceptualized as more competence-like than solely trait-like. It has rarely been investigated (1) whether these constructs might assess the same latent dimension, and (2) if they indeed reflect competencies beyond traits. In three samples (N = 592), we observed (1) high convergence between all constructs. (2) PF was related to a full-scale emotional competence performance measure (Mayer-Salovey-Caruso Emotional Intelligence Test), supporting its status as a competence construct. (3) Further, all constructs are strongly saturated with PF variance, and PF can be reliably estimated from common personality scales.</t>
  </si>
  <si>
    <t>Behavioral Variability as a Function of People, Situations, and Their Interaction</t>
  </si>
  <si>
    <t>Behavioral variability has long been a central topic in personality psychology. Traditionally, research has focused on differences in mean levels of behavior across situations and time, rather than taking a situation-specific approach to variability. These approaches neglect variability (or the opposite, consistency) within a situation, often treating within-situation variability as mere error. This study investigates three primary questions involving behavioral variability: (a) Is variability a general characteristic of individuals or contingent on situational factors? (b) Do situations influence behavioral variability either by allowing for more behavioral variability or by increasing behavioral consistency? (c) Do personality traits interact with situations to affect variability? Utilizing intensive longitudinal data from two studies, we developed a novel person-in-situ density distribution model to capture person-specific within-situation variability. Our findings indicate that behavioral variability is not solely a function of individual differences but also significantly shaped by situational contexts. Meanwhile, contrary to the strong situation hypothesis, which emphasizes that situations tend to constrain behaviors, the present study found situations influence behavioral variability in both directions, making people more and less variable. Finally, personality traits were found to moderate the impact of situations on behavioral consistency, suggesting that variability reflects the interplay between person and situation factors. These results highlight the importance of considering behavioral variability within situations, which offers insights into personality dynamics rather than exclusively focusing on mean-level analyses. The implications of the person-in-situ density distribution model for studying person-situation transactions are also discussed.</t>
  </si>
  <si>
    <t>Beyond Tech: The Human Element in Industry 5.0 Projects</t>
  </si>
  <si>
    <t>The aim of this article is to address the current knowledge gap in key soft skills required when managing projects in an Industry 5.0 context. Using a survey questionnaire, key social, emotional, and behavioral skills were identified and framed through the theoretical lenses of the Big Five personality traits and Schwartz's personal values theories. The findings highlight the growing relevance of emotional resilience, innovation, cooperation, and social engagement, reflecting personality qualities such as openness to experience and agreeableness and personal values such as self-direction, universalism, and hedonism. The professional identity of project managers is posited to evolve concomitantly.</t>
  </si>
  <si>
    <t>What Explains Personality Change Intervention Effects?</t>
  </si>
  <si>
    <t>Volitional personality change interventions have been shown to help people change their current personality toward their ideal personality. Here, we address three limitations of this literature. First, we contrast the dominant theoretical perspective of self-improvement with self-acceptance as pathways to reduce the discrepancy between current and ideal personality. Second, we test how well-being aspects change as a by-product of targeting personality. Third, we use a waitlist control group to account for expectancy and demand effects. Across three studies (combined N = 2,094</t>
  </si>
  <si>
    <t>Exploring the association between social and emotional skills and online social experiences: a network analysis and latent profile analysis</t>
  </si>
  <si>
    <t>With the widespread use of social media, online social experiences have become increasingly influential on the mental health of young people. However, how individuals' socio-emotional skills modify these experiences remains unclear. This study conducted a survey of 1,422 Chinese university students and applied network analysis and latent profile analysis to explore the relationship between socio-emotional skills and online social experiences. The results showed that socio-emotional skills had a significant positive correlation with positive online social experiences and a significant negative correlation with negative online social experiences. Among these skills, stress resilience may serve as a key dimension for enhancing overall socio-emotional competence. Therefore, interventions targeting stress resilience could be particularly effective in helping individuals strengthen their broader socio-emotional skills, thereby improving their online social experiences. Additionally, the study found that positive and negative online social experiences are two distinct constructs, suggesting that intervention strategies should address them separately. These findings provide a theoretical foundation for developing targeted interventions to improve young people's online social experiences and promote their mental well-being.</t>
  </si>
  <si>
    <t>https://doi.org/10.1016/j.lindif.2025.102758</t>
  </si>
  <si>
    <t>https://doi.org/10.1007/s10791-025-09703-1</t>
  </si>
  <si>
    <t>https://doi.org/10.1026/0012-1924/a000348</t>
  </si>
  <si>
    <t>https://doi.org/10.1016/j.jrp.2025.104633</t>
  </si>
  <si>
    <t>https://doi.org/10.1037/pspp0000563</t>
  </si>
  <si>
    <t>https://doi.org/10.1177/87569728251349774</t>
  </si>
  <si>
    <t>https://doi.org/10.3389/fpsyt.2025.1582272</t>
  </si>
  <si>
    <t>Wang &amp; King</t>
  </si>
  <si>
    <t>Xi &amp; Jackson</t>
  </si>
  <si>
    <t>Ichsan et al.</t>
  </si>
  <si>
    <t>Danner et al.</t>
  </si>
  <si>
    <t>Jauk et al.</t>
  </si>
  <si>
    <t>Santos et al.</t>
  </si>
  <si>
    <t>Kramer et al.</t>
  </si>
  <si>
    <t>Yang et al.</t>
  </si>
  <si>
    <t>https://doi.org/10.1007/s11218-025-10095-9</t>
  </si>
  <si>
    <t>https://doi.org/10.17605/OSF.IO/2H4FM</t>
  </si>
  <si>
    <t>https://dx.doi.org/10.1037/pspp0000565</t>
  </si>
  <si>
    <t>positiveschooloutcomes; academicachievement; learningfactors</t>
  </si>
  <si>
    <t>TF</t>
  </si>
  <si>
    <t>virtualrealityuse; skilldevelopment</t>
  </si>
  <si>
    <t>hanas.hanafi@phd.mik.uni-pannon.hu</t>
  </si>
  <si>
    <t>skillbeliefs; jobperformance; skillfortheworkplace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</si>
</sst>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49" fontId="0" fillId="0" borderId="0" xfId="0" applyNumberFormat="1"/>
    <xf numFmtId="0" fontId="0" fillId="0" borderId="0" xfId="0" applyAlignment="1">
      <alignment readingOrder="1"/>
    </xf>
    <xf numFmtId="2" fontId="0" fillId="0" borderId="0" xfId="0" applyNumberFormat="1"/>
    <xf numFmtId="49" fontId="0" fillId="2" borderId="0" xfId="0" applyNumberFormat="1" applyFill="1"/>
    <xf numFmtId="0" fontId="0" fillId="2" borderId="0" xfId="0" applyFill="1"/>
    <xf numFmtId="14" fontId="0" fillId="2" borderId="0" xfId="0" applyNumberFormat="1" applyFill="1"/>
    <xf numFmtId="0" fontId="2" fillId="2" borderId="0" xfId="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07/s11218-025-10095-9" TargetMode="External"/><Relationship Id="rId3" Type="http://schemas.openxmlformats.org/officeDocument/2006/relationships/hyperlink" Target="https://doi.org/10.1026/0012-1924/a000348" TargetMode="External"/><Relationship Id="rId7" Type="http://schemas.openxmlformats.org/officeDocument/2006/relationships/hyperlink" Target="https://doi.org/10.3389/fpsyt.2025.1582272" TargetMode="External"/><Relationship Id="rId12" Type="http://schemas.openxmlformats.org/officeDocument/2006/relationships/printerSettings" Target="../printerSettings/printerSettings1.bin"/><Relationship Id="rId2" Type="http://schemas.openxmlformats.org/officeDocument/2006/relationships/hyperlink" Target="https://doi.org/10.1007/s10791-025-09703-1" TargetMode="External"/><Relationship Id="rId1" Type="http://schemas.openxmlformats.org/officeDocument/2006/relationships/hyperlink" Target="https://doi.org/10.1016/j.lindif.2025.102758" TargetMode="External"/><Relationship Id="rId6" Type="http://schemas.openxmlformats.org/officeDocument/2006/relationships/hyperlink" Target="https://doi.org/10.1177/87569728251349774" TargetMode="External"/><Relationship Id="rId11" Type="http://schemas.openxmlformats.org/officeDocument/2006/relationships/hyperlink" Target="https://dx.doi.org/10.1037/pspp0000565" TargetMode="External"/><Relationship Id="rId5" Type="http://schemas.openxmlformats.org/officeDocument/2006/relationships/hyperlink" Target="https://doi.org/10.1037/pspp0000563" TargetMode="External"/><Relationship Id="rId10" Type="http://schemas.openxmlformats.org/officeDocument/2006/relationships/hyperlink" Target="mailto:hanas.hanafi@phd.mik.uni-pannon.hu" TargetMode="External"/><Relationship Id="rId4" Type="http://schemas.openxmlformats.org/officeDocument/2006/relationships/hyperlink" Target="https://doi.org/10.1016/j.jrp.2025.104633" TargetMode="External"/><Relationship Id="rId9" Type="http://schemas.openxmlformats.org/officeDocument/2006/relationships/hyperlink" Target="mailto:feraco.tommaso@unipd.i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11"/>
  <sheetViews>
    <sheetView tabSelected="1" workbookViewId="0">
      <pane xSplit="2" ySplit="1" topLeftCell="C2" activePane="bottomRight" state="frozen"/>
      <selection pane="topRight" activeCell="C1" sqref="C1"/>
      <selection pane="bottomLeft" activeCell="A2" sqref="A2"/>
      <selection pane="bottomRight" activeCell="F15" sqref="F15"/>
    </sheetView>
  </sheetViews>
  <sheetFormatPr defaultRowHeight="14.5" x14ac:dyDescent="0.35"/>
  <cols>
    <col min="1" max="1" width="10.7265625" bestFit="1" customWidth="1"/>
    <col min="2" max="3" width="9.1796875" style="1"/>
    <col min="4" max="4" width="8.81640625" customWidth="1"/>
    <col min="6" max="6" width="28.1796875" customWidth="1"/>
    <col min="13" max="13" width="12.453125" customWidth="1"/>
    <col min="14" max="14" width="13.7265625" customWidth="1"/>
    <col min="15" max="15" width="14.7265625" customWidth="1"/>
    <col min="16" max="16" width="35.1796875" bestFit="1" customWidth="1"/>
    <col min="17" max="17" width="11.26953125" customWidth="1"/>
  </cols>
  <sheetData>
    <row r="1" spans="1:31" x14ac:dyDescent="0.35">
      <c r="A1" t="s">
        <v>1436</v>
      </c>
      <c r="B1" s="1" t="s">
        <v>4</v>
      </c>
      <c r="C1" s="1" t="s">
        <v>5</v>
      </c>
      <c r="D1" t="s">
        <v>6</v>
      </c>
      <c r="E1" t="s">
        <v>1456</v>
      </c>
      <c r="F1" t="s">
        <v>0</v>
      </c>
      <c r="G1" t="s">
        <v>1437</v>
      </c>
      <c r="H1" t="s">
        <v>1438</v>
      </c>
      <c r="I1" t="s">
        <v>1</v>
      </c>
      <c r="J1" t="s">
        <v>8</v>
      </c>
      <c r="K1" t="s">
        <v>2</v>
      </c>
      <c r="L1" t="s">
        <v>1463</v>
      </c>
      <c r="M1" t="s">
        <v>1445</v>
      </c>
      <c r="N1" t="s">
        <v>1490</v>
      </c>
      <c r="O1" t="s">
        <v>1442</v>
      </c>
      <c r="P1" t="s">
        <v>3</v>
      </c>
      <c r="Q1" t="s">
        <v>9</v>
      </c>
      <c r="R1" t="s">
        <v>10</v>
      </c>
      <c r="S1" t="s">
        <v>11</v>
      </c>
      <c r="T1" t="s">
        <v>12</v>
      </c>
      <c r="U1" t="s">
        <v>13</v>
      </c>
      <c r="V1" t="s">
        <v>14</v>
      </c>
      <c r="W1" t="s">
        <v>15</v>
      </c>
      <c r="X1" t="s">
        <v>1453</v>
      </c>
      <c r="Y1" t="s">
        <v>1455</v>
      </c>
      <c r="Z1" t="s">
        <v>16</v>
      </c>
      <c r="AA1" t="s">
        <v>17</v>
      </c>
      <c r="AB1" t="s">
        <v>1487</v>
      </c>
      <c r="AC1" t="s">
        <v>1418</v>
      </c>
      <c r="AD1" t="s">
        <v>1428</v>
      </c>
      <c r="AE1" t="s">
        <v>1458</v>
      </c>
    </row>
    <row r="2" spans="1:31" s="5" customFormat="1" x14ac:dyDescent="0.35">
      <c r="A2" s="6">
        <v>45901</v>
      </c>
      <c r="B2" s="4" t="s">
        <v>89</v>
      </c>
      <c r="C2" s="4" t="s">
        <v>18</v>
      </c>
      <c r="D2" s="5" t="str">
        <f>B2&amp;""&amp;C2</f>
        <v>0071a</v>
      </c>
      <c r="E2" s="7" t="s">
        <v>1542</v>
      </c>
      <c r="F2" s="5" t="s">
        <v>1509</v>
      </c>
      <c r="G2" s="5" t="s">
        <v>1510</v>
      </c>
      <c r="H2" s="5" t="s">
        <v>1493</v>
      </c>
      <c r="I2" s="5" t="s">
        <v>1500</v>
      </c>
      <c r="J2" s="5" t="s">
        <v>1451</v>
      </c>
      <c r="K2" s="5">
        <v>2025</v>
      </c>
      <c r="L2" s="5" t="s">
        <v>1457</v>
      </c>
      <c r="M2" s="5" t="s">
        <v>1457</v>
      </c>
      <c r="N2" s="5" t="s">
        <v>1545</v>
      </c>
      <c r="O2" s="5" t="s">
        <v>1489</v>
      </c>
      <c r="P2" s="7" t="s">
        <v>1465</v>
      </c>
      <c r="Q2" s="5" t="s">
        <v>1543</v>
      </c>
      <c r="R2" s="5" t="s">
        <v>1161</v>
      </c>
      <c r="S2" s="5" t="s">
        <v>1277</v>
      </c>
      <c r="T2" s="5">
        <v>54</v>
      </c>
      <c r="U2" s="5">
        <v>18.23</v>
      </c>
      <c r="V2" s="5">
        <v>5075</v>
      </c>
      <c r="W2" s="5" t="s">
        <v>1165</v>
      </c>
      <c r="X2" s="5" t="s">
        <v>1454</v>
      </c>
      <c r="Z2" s="5" t="s">
        <v>1171</v>
      </c>
      <c r="AA2" s="5" t="s">
        <v>1173</v>
      </c>
      <c r="AC2" s="5" t="s">
        <v>1546</v>
      </c>
    </row>
    <row r="3" spans="1:31" s="5" customFormat="1" x14ac:dyDescent="0.35">
      <c r="A3" s="6">
        <v>45901</v>
      </c>
      <c r="B3" s="4" t="s">
        <v>90</v>
      </c>
      <c r="C3" s="4"/>
      <c r="D3" s="5" t="str">
        <f t="shared" ref="D3:D11" si="0">B3&amp;""&amp;C3</f>
        <v>0072</v>
      </c>
      <c r="E3" s="7" t="s">
        <v>1527</v>
      </c>
      <c r="F3" s="5" t="s">
        <v>1511</v>
      </c>
      <c r="G3" s="5" t="s">
        <v>1512</v>
      </c>
      <c r="H3" s="5" t="s">
        <v>1439</v>
      </c>
      <c r="I3" s="5" t="s">
        <v>1501</v>
      </c>
      <c r="J3" s="5" t="s">
        <v>1534</v>
      </c>
      <c r="K3" s="5">
        <v>2025</v>
      </c>
      <c r="L3" s="5" t="s">
        <v>1447</v>
      </c>
      <c r="O3" s="5" t="s">
        <v>1446</v>
      </c>
      <c r="AC3" s="5" t="s">
        <v>1546</v>
      </c>
    </row>
    <row r="4" spans="1:31" s="5" customFormat="1" x14ac:dyDescent="0.35">
      <c r="A4" s="6">
        <v>45901</v>
      </c>
      <c r="B4" s="4" t="s">
        <v>91</v>
      </c>
      <c r="C4" s="4"/>
      <c r="D4" s="5" t="str">
        <f t="shared" si="0"/>
        <v>0073</v>
      </c>
      <c r="E4" s="7" t="s">
        <v>1528</v>
      </c>
      <c r="F4" s="5" t="s">
        <v>1513</v>
      </c>
      <c r="G4" s="5" t="s">
        <v>1514</v>
      </c>
      <c r="H4" s="5" t="s">
        <v>1494</v>
      </c>
      <c r="I4" s="5" t="s">
        <v>1502</v>
      </c>
      <c r="J4" s="5" t="s">
        <v>1536</v>
      </c>
      <c r="K4" s="5">
        <v>2025</v>
      </c>
      <c r="L4" s="5" t="s">
        <v>1457</v>
      </c>
      <c r="M4" s="5" t="s">
        <v>1440</v>
      </c>
      <c r="N4" s="5" t="s">
        <v>1547</v>
      </c>
      <c r="O4" s="5" t="s">
        <v>1440</v>
      </c>
      <c r="P4" s="7" t="s">
        <v>1548</v>
      </c>
      <c r="AC4" s="5" t="s">
        <v>1546</v>
      </c>
    </row>
    <row r="5" spans="1:31" s="5" customFormat="1" x14ac:dyDescent="0.35">
      <c r="A5" s="6">
        <v>45901</v>
      </c>
      <c r="B5" s="4" t="s">
        <v>92</v>
      </c>
      <c r="C5" s="4"/>
      <c r="D5" s="5" t="str">
        <f t="shared" si="0"/>
        <v>0074</v>
      </c>
      <c r="E5" s="7" t="s">
        <v>1529</v>
      </c>
      <c r="F5" s="5" t="s">
        <v>1515</v>
      </c>
      <c r="G5" s="5" t="s">
        <v>1516</v>
      </c>
      <c r="H5" s="5" t="s">
        <v>1495</v>
      </c>
      <c r="I5" s="5" t="s">
        <v>1503</v>
      </c>
      <c r="J5" s="5" t="s">
        <v>1537</v>
      </c>
      <c r="K5" s="5">
        <v>2025</v>
      </c>
      <c r="L5" s="5" t="s">
        <v>1448</v>
      </c>
      <c r="O5" s="5" t="s">
        <v>1446</v>
      </c>
      <c r="AC5" s="5" t="s">
        <v>1546</v>
      </c>
    </row>
    <row r="6" spans="1:31" s="5" customFormat="1" x14ac:dyDescent="0.35">
      <c r="A6" s="6">
        <v>45901</v>
      </c>
      <c r="B6" s="4" t="s">
        <v>93</v>
      </c>
      <c r="C6" s="4"/>
      <c r="D6" s="5" t="str">
        <f t="shared" si="0"/>
        <v>0075</v>
      </c>
      <c r="E6" s="7" t="s">
        <v>1530</v>
      </c>
      <c r="F6" s="5" t="s">
        <v>1517</v>
      </c>
      <c r="G6" s="5" t="s">
        <v>1518</v>
      </c>
      <c r="H6" s="5" t="s">
        <v>1496</v>
      </c>
      <c r="I6" s="5" t="s">
        <v>1504</v>
      </c>
      <c r="J6" s="5" t="s">
        <v>1538</v>
      </c>
      <c r="K6" s="5">
        <v>2025</v>
      </c>
      <c r="L6" s="5" t="s">
        <v>1464</v>
      </c>
      <c r="O6" s="5" t="s">
        <v>1446</v>
      </c>
      <c r="AC6" s="5" t="s">
        <v>1546</v>
      </c>
    </row>
    <row r="7" spans="1:31" s="5" customFormat="1" x14ac:dyDescent="0.35">
      <c r="A7" s="6">
        <v>45901</v>
      </c>
      <c r="B7" s="4" t="s">
        <v>94</v>
      </c>
      <c r="C7" s="4"/>
      <c r="D7" s="5" t="str">
        <f t="shared" si="0"/>
        <v>0076</v>
      </c>
      <c r="E7" s="7" t="s">
        <v>1531</v>
      </c>
      <c r="F7" s="5" t="s">
        <v>1519</v>
      </c>
      <c r="G7" s="5" t="s">
        <v>1520</v>
      </c>
      <c r="H7" s="5" t="s">
        <v>1497</v>
      </c>
      <c r="I7" s="5" t="s">
        <v>1505</v>
      </c>
      <c r="J7" s="5" t="s">
        <v>1535</v>
      </c>
      <c r="K7" s="5">
        <v>2025</v>
      </c>
      <c r="L7" s="5" t="s">
        <v>1464</v>
      </c>
      <c r="O7" s="5" t="s">
        <v>1446</v>
      </c>
      <c r="AC7" s="5" t="s">
        <v>1546</v>
      </c>
    </row>
    <row r="8" spans="1:31" s="5" customFormat="1" x14ac:dyDescent="0.35">
      <c r="A8" s="6">
        <v>45901</v>
      </c>
      <c r="B8" s="4" t="s">
        <v>95</v>
      </c>
      <c r="C8" s="4"/>
      <c r="D8" s="5" t="str">
        <f t="shared" si="0"/>
        <v>0077</v>
      </c>
      <c r="E8" s="7" t="s">
        <v>1532</v>
      </c>
      <c r="F8" s="5" t="s">
        <v>1521</v>
      </c>
      <c r="G8" s="5" t="s">
        <v>1522</v>
      </c>
      <c r="H8" s="5" t="s">
        <v>1498</v>
      </c>
      <c r="I8" s="5" t="s">
        <v>1506</v>
      </c>
      <c r="J8" s="5" t="s">
        <v>1539</v>
      </c>
      <c r="K8" s="5">
        <v>2025</v>
      </c>
      <c r="L8" s="5" t="s">
        <v>1457</v>
      </c>
      <c r="M8" s="5" t="s">
        <v>1444</v>
      </c>
      <c r="N8" s="5" t="s">
        <v>1549</v>
      </c>
      <c r="O8" s="5" t="s">
        <v>1446</v>
      </c>
      <c r="AC8" s="5" t="s">
        <v>1546</v>
      </c>
    </row>
    <row r="9" spans="1:31" s="5" customFormat="1" x14ac:dyDescent="0.35">
      <c r="A9" s="6">
        <v>45901</v>
      </c>
      <c r="B9" s="4" t="s">
        <v>96</v>
      </c>
      <c r="C9" s="4"/>
      <c r="D9" s="5" t="str">
        <f t="shared" si="0"/>
        <v>0078</v>
      </c>
      <c r="E9" s="7" t="s">
        <v>1544</v>
      </c>
      <c r="F9" s="5" t="s">
        <v>1523</v>
      </c>
      <c r="G9" s="5" t="s">
        <v>1524</v>
      </c>
      <c r="H9" s="5" t="s">
        <v>1497</v>
      </c>
      <c r="I9" s="5" t="s">
        <v>1507</v>
      </c>
      <c r="J9" s="5" t="s">
        <v>1540</v>
      </c>
      <c r="K9" s="5">
        <v>2025</v>
      </c>
      <c r="L9" s="5" t="s">
        <v>1464</v>
      </c>
      <c r="O9" s="5" t="s">
        <v>1446</v>
      </c>
      <c r="AC9" s="5" t="s">
        <v>1546</v>
      </c>
    </row>
    <row r="10" spans="1:31" s="5" customFormat="1" x14ac:dyDescent="0.35">
      <c r="A10" s="6">
        <v>45901</v>
      </c>
      <c r="B10" s="4" t="s">
        <v>97</v>
      </c>
      <c r="C10" s="4"/>
      <c r="D10" s="5" t="str">
        <f t="shared" si="0"/>
        <v>0079</v>
      </c>
      <c r="E10" s="7" t="s">
        <v>1533</v>
      </c>
      <c r="F10" s="5" t="s">
        <v>1525</v>
      </c>
      <c r="G10" s="5" t="s">
        <v>1526</v>
      </c>
      <c r="H10" s="5" t="s">
        <v>1499</v>
      </c>
      <c r="I10" s="5" t="s">
        <v>1508</v>
      </c>
      <c r="J10" s="5" t="s">
        <v>1541</v>
      </c>
      <c r="K10" s="5">
        <v>2025</v>
      </c>
      <c r="L10" s="5" t="s">
        <v>1448</v>
      </c>
      <c r="O10" s="5" t="s">
        <v>1446</v>
      </c>
      <c r="AC10" s="5" t="s">
        <v>1546</v>
      </c>
    </row>
    <row r="11" spans="1:31" x14ac:dyDescent="0.35">
      <c r="D11" t="str">
        <f t="shared" si="0"/>
        <v/>
      </c>
    </row>
  </sheetData>
  <autoFilter ref="A1:AE10" xr:uid="{00000000-0001-0000-0000-000000000000}"/>
  <phoneticPr fontId="1" type="noConversion"/>
  <dataValidations count="1">
    <dataValidation type="whole" allowBlank="1" showInputMessage="1" showErrorMessage="1" sqref="L12:L1312 K2:K1312" xr:uid="{F8524D51-D2D8-47F0-889D-CF24F2B60A7D}">
      <formula1>2020</formula1>
      <formula2>2040</formula2>
    </dataValidation>
  </dataValidations>
  <hyperlinks>
    <hyperlink ref="E3" r:id="rId1" xr:uid="{903A7EFC-084A-4FD9-9B13-B1AF6A5BB467}"/>
    <hyperlink ref="E4" r:id="rId2" xr:uid="{DA0ED070-3B09-456E-8864-49558404D339}"/>
    <hyperlink ref="E5" r:id="rId3" xr:uid="{C3E08830-9CC9-44E2-842A-5E6382A5CC0A}"/>
    <hyperlink ref="E6" r:id="rId4" xr:uid="{640F6435-7BCD-4876-99D4-64EA9CABB0EB}"/>
    <hyperlink ref="E7" r:id="rId5" xr:uid="{5FC86361-BDBE-4A82-B1FA-C668063D6212}"/>
    <hyperlink ref="E8" r:id="rId6" xr:uid="{EAA666C2-9083-4475-B641-67E3D21A4CAB}"/>
    <hyperlink ref="E10" r:id="rId7" xr:uid="{BFC5DC0B-790D-440E-A269-8B46CB45C2C7}"/>
    <hyperlink ref="E2" r:id="rId8" xr:uid="{EB5D9500-7F30-41E8-8C25-69CE48975212}"/>
    <hyperlink ref="P2" r:id="rId9" xr:uid="{2D497185-1D85-4DA1-9567-1B7579A774C2}"/>
    <hyperlink ref="P4" r:id="rId10" xr:uid="{15ECD233-47A3-4471-BC54-E104ABEFD333}"/>
    <hyperlink ref="E9" r:id="rId11" xr:uid="{436162EC-2953-4CBB-A3D0-1F2053DA7C57}"/>
  </hyperlinks>
  <pageMargins left="0.7" right="0.7" top="0.75" bottom="0.75" header="0.3" footer="0.3"/>
  <pageSetup paperSize="9" orientation="portrait" r:id="rId12"/>
  <extLst>
    <ext xmlns:x14="http://schemas.microsoft.com/office/spreadsheetml/2009/9/main" uri="{CCE6A557-97BC-4b89-ADB6-D9C93CAAB3DF}">
      <x14:dataValidations xmlns:xm="http://schemas.microsoft.com/office/excel/2006/main" count="15">
        <x14:dataValidation type="list" allowBlank="1" showInputMessage="1" showErrorMessage="1" xr:uid="{BE656A4B-9C86-4B7C-8372-C393037AC66D}">
          <x14:formula1>
            <xm:f>options!$T$2:$T$18</xm:f>
          </x14:formula1>
          <xm:sqref>X408:X953 W2:W953</xm:sqref>
        </x14:dataValidation>
        <x14:dataValidation type="list" allowBlank="1" showInputMessage="1" showErrorMessage="1" xr:uid="{BEBF39FF-702B-4ABB-A589-6D4D7378CF4B}">
          <x14:formula1>
            <xm:f>options!$A$2:$A$112121</xm:f>
          </x14:formula1>
          <xm:sqref>B2:B10</xm:sqref>
        </x14:dataValidation>
        <x14:dataValidation type="list" allowBlank="1" showInputMessage="1" showErrorMessage="1" xr:uid="{457573A4-3B1E-4F5B-99D6-3289E91A02EE}">
          <x14:formula1>
            <xm:f>options!$L$2:$L$7</xm:f>
          </x14:formula1>
          <xm:sqref>O2:O11</xm:sqref>
        </x14:dataValidation>
        <x14:dataValidation type="list" allowBlank="1" showInputMessage="1" showErrorMessage="1" xr:uid="{ABFFB021-3A02-409D-9301-E0134C4E0168}">
          <x14:formula1>
            <xm:f>options!$I$2:$I$19</xm:f>
          </x14:formula1>
          <xm:sqref>L2:L11</xm:sqref>
        </x14:dataValidation>
        <x14:dataValidation type="list" allowBlank="1" showInputMessage="1" showErrorMessage="1" xr:uid="{8193A318-DCCD-400A-89F6-9FA8D762077B}">
          <x14:formula1>
            <xm:f>options!$K$2:$K$35</xm:f>
          </x14:formula1>
          <xm:sqref>N12:N1077</xm:sqref>
        </x14:dataValidation>
        <x14:dataValidation type="list" allowBlank="1" showInputMessage="1" showErrorMessage="1" xr:uid="{E821057D-F615-431D-A3E7-EF154FC86C85}">
          <x14:formula1>
            <xm:f>options!B84:B1203</xm:f>
          </x14:formula1>
          <xm:sqref>B11</xm:sqref>
        </x14:dataValidation>
        <x14:dataValidation type="list" allowBlank="1" showInputMessage="1" showErrorMessage="1" xr:uid="{5F145DC8-02F8-4CE9-9040-821D00C32E47}">
          <x14:formula1>
            <xm:f>options!B1265:B2384</xm:f>
          </x14:formula1>
          <xm:sqref>B12:B1199</xm:sqref>
        </x14:dataValidation>
        <x14:dataValidation type="list" allowBlank="1" showInputMessage="1" showErrorMessage="1" xr:uid="{73622D16-B875-48DA-8FEF-B515FBFE0CD9}">
          <x14:formula1>
            <xm:f>options!$B$2:$B$22</xm:f>
          </x14:formula1>
          <xm:sqref>C2:C1105</xm:sqref>
        </x14:dataValidation>
        <x14:dataValidation type="list" allowBlank="1" showInputMessage="1" showErrorMessage="1" xr:uid="{EFCAB99E-06E1-41AD-A61B-D5D0CA9D5E9E}">
          <x14:formula1>
            <xm:f>options!$O$2:$O$16</xm:f>
          </x14:formula1>
          <xm:sqref>R2:R1199</xm:sqref>
        </x14:dataValidation>
        <x14:dataValidation type="list" allowBlank="1" showInputMessage="1" showErrorMessage="1" xr:uid="{1ECEBC84-E5EE-4D00-8FBF-A12F4235A6AE}">
          <x14:formula1>
            <xm:f>options!$P$2:$P$465</xm:f>
          </x14:formula1>
          <xm:sqref>S2:S1256</xm:sqref>
        </x14:dataValidation>
        <x14:dataValidation type="list" allowBlank="1" showInputMessage="1" showErrorMessage="1" xr:uid="{A4CB52C2-24DD-480D-9C81-281827D0352F}">
          <x14:formula1>
            <xm:f>options!$W$2:$W$37</xm:f>
          </x14:formula1>
          <xm:sqref>Z2:Z943</xm:sqref>
        </x14:dataValidation>
        <x14:dataValidation type="list" allowBlank="1" showInputMessage="1" showErrorMessage="1" xr:uid="{343D6D5F-6D69-4FB4-BDFA-B2BDA31BAC91}">
          <x14:formula1>
            <xm:f>options!$X$2:$X$24</xm:f>
          </x14:formula1>
          <xm:sqref>AA2:AA945</xm:sqref>
        </x14:dataValidation>
        <x14:dataValidation type="list" allowBlank="1" showInputMessage="1" showErrorMessage="1" xr:uid="{ABF61035-FDD9-4029-BEFD-117D3A689719}">
          <x14:formula1>
            <xm:f>options!$Y$2:$Y$16</xm:f>
          </x14:formula1>
          <xm:sqref>AB2:AB947</xm:sqref>
        </x14:dataValidation>
        <x14:dataValidation type="list" allowBlank="1" showInputMessage="1" showErrorMessage="1" xr:uid="{5EDCACA3-D906-4B8C-A7FB-4512358B78BB}">
          <x14:formula1>
            <xm:f>options!$U$2:$U$8</xm:f>
          </x14:formula1>
          <xm:sqref>X2:X407</xm:sqref>
        </x14:dataValidation>
        <x14:dataValidation type="list" allowBlank="1" showInputMessage="1" showErrorMessage="1" xr:uid="{83972B6B-CA01-43FD-BEFD-AAE363E3BAA0}">
          <x14:formula1>
            <xm:f>options!$J$2:$J$27</xm:f>
          </x14:formula1>
          <xm:sqref>M2:M1091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topLeftCell="A2" workbookViewId="0">
      <selection activeCell="K2" sqref="K2"/>
    </sheetView>
  </sheetViews>
  <sheetFormatPr defaultRowHeight="14.5" x14ac:dyDescent="0.35"/>
  <cols>
    <col min="1" max="1" width="9.1796875" style="1"/>
  </cols>
  <sheetData>
    <row r="1" spans="1:25" x14ac:dyDescent="0.35">
      <c r="A1" s="1" t="s">
        <v>4</v>
      </c>
      <c r="B1" s="1" t="s">
        <v>5</v>
      </c>
      <c r="C1" t="s">
        <v>6</v>
      </c>
      <c r="D1" t="s">
        <v>7</v>
      </c>
      <c r="E1" t="s">
        <v>0</v>
      </c>
      <c r="F1" t="s">
        <v>1</v>
      </c>
      <c r="G1" t="s">
        <v>8</v>
      </c>
      <c r="H1" t="s">
        <v>2</v>
      </c>
      <c r="I1" t="s">
        <v>1463</v>
      </c>
      <c r="J1" t="s">
        <v>1445</v>
      </c>
      <c r="K1" t="s">
        <v>1490</v>
      </c>
      <c r="L1" t="s">
        <v>1442</v>
      </c>
      <c r="M1" t="s">
        <v>3</v>
      </c>
      <c r="N1" t="s">
        <v>9</v>
      </c>
      <c r="O1" t="s">
        <v>10</v>
      </c>
      <c r="P1" t="s">
        <v>11</v>
      </c>
      <c r="Q1" t="s">
        <v>12</v>
      </c>
      <c r="R1" t="s">
        <v>13</v>
      </c>
      <c r="S1" t="s">
        <v>14</v>
      </c>
      <c r="T1" t="s">
        <v>15</v>
      </c>
      <c r="U1" t="s">
        <v>1453</v>
      </c>
      <c r="V1" t="s">
        <v>1455</v>
      </c>
      <c r="W1" t="s">
        <v>16</v>
      </c>
      <c r="X1" t="s">
        <v>17</v>
      </c>
      <c r="Y1" t="s">
        <v>1487</v>
      </c>
    </row>
    <row r="2" spans="1:25" x14ac:dyDescent="0.35">
      <c r="A2" s="1" t="s">
        <v>19</v>
      </c>
      <c r="B2" t="s">
        <v>18</v>
      </c>
      <c r="C2" t="s">
        <v>1158</v>
      </c>
      <c r="D2" t="s">
        <v>1159</v>
      </c>
      <c r="E2" t="s">
        <v>1159</v>
      </c>
      <c r="F2" t="s">
        <v>1159</v>
      </c>
      <c r="G2" t="s">
        <v>1462</v>
      </c>
      <c r="H2" t="s">
        <v>1160</v>
      </c>
      <c r="I2" t="s">
        <v>1457</v>
      </c>
      <c r="J2" t="s">
        <v>1457</v>
      </c>
      <c r="K2" t="s">
        <v>1492</v>
      </c>
      <c r="L2" t="s">
        <v>1441</v>
      </c>
      <c r="M2" t="s">
        <v>1159</v>
      </c>
      <c r="N2" t="s">
        <v>1467</v>
      </c>
      <c r="O2" t="s">
        <v>1161</v>
      </c>
      <c r="P2" t="s">
        <v>1416</v>
      </c>
      <c r="Q2" t="s">
        <v>1468</v>
      </c>
      <c r="R2" t="s">
        <v>1164</v>
      </c>
      <c r="S2" t="s">
        <v>1469</v>
      </c>
      <c r="T2" t="s">
        <v>1452</v>
      </c>
      <c r="U2" t="s">
        <v>1453</v>
      </c>
      <c r="V2" t="s">
        <v>1159</v>
      </c>
      <c r="W2" t="s">
        <v>1169</v>
      </c>
      <c r="X2" t="s">
        <v>1162</v>
      </c>
      <c r="Y2" t="s">
        <v>1174</v>
      </c>
    </row>
    <row r="3" spans="1:25" x14ac:dyDescent="0.35">
      <c r="A3" s="1" t="s">
        <v>20</v>
      </c>
      <c r="B3" t="s">
        <v>1139</v>
      </c>
      <c r="I3" t="s">
        <v>1443</v>
      </c>
      <c r="J3" t="s">
        <v>1444</v>
      </c>
      <c r="L3" t="s">
        <v>1440</v>
      </c>
      <c r="O3" t="s">
        <v>1162</v>
      </c>
      <c r="P3" t="s">
        <v>1417</v>
      </c>
      <c r="T3" t="s">
        <v>1165</v>
      </c>
      <c r="U3" t="s">
        <v>1454</v>
      </c>
      <c r="W3" t="s">
        <v>1170</v>
      </c>
      <c r="X3" t="s">
        <v>1173</v>
      </c>
      <c r="Y3" t="s">
        <v>1175</v>
      </c>
    </row>
    <row r="4" spans="1:25" x14ac:dyDescent="0.35">
      <c r="A4" s="1" t="s">
        <v>21</v>
      </c>
      <c r="B4" t="s">
        <v>1140</v>
      </c>
      <c r="I4" t="s">
        <v>1422</v>
      </c>
      <c r="J4" t="s">
        <v>1420</v>
      </c>
      <c r="L4" t="s">
        <v>1489</v>
      </c>
      <c r="O4" t="s">
        <v>1163</v>
      </c>
      <c r="T4" t="s">
        <v>1166</v>
      </c>
      <c r="W4" t="s">
        <v>1171</v>
      </c>
      <c r="Y4" t="s">
        <v>1459</v>
      </c>
    </row>
    <row r="5" spans="1:25" x14ac:dyDescent="0.35">
      <c r="A5" s="1" t="s">
        <v>22</v>
      </c>
      <c r="B5" t="s">
        <v>1141</v>
      </c>
      <c r="I5" t="s">
        <v>1464</v>
      </c>
      <c r="J5" t="s">
        <v>1421</v>
      </c>
      <c r="L5" t="s">
        <v>1446</v>
      </c>
      <c r="P5" t="s">
        <v>1176</v>
      </c>
      <c r="T5" t="s">
        <v>1167</v>
      </c>
      <c r="W5" t="s">
        <v>1172</v>
      </c>
    </row>
    <row r="6" spans="1:25" x14ac:dyDescent="0.35">
      <c r="A6" s="1" t="s">
        <v>23</v>
      </c>
      <c r="B6" t="s">
        <v>1142</v>
      </c>
      <c r="I6" t="s">
        <v>1447</v>
      </c>
      <c r="J6" t="s">
        <v>1423</v>
      </c>
      <c r="P6" t="s">
        <v>1177</v>
      </c>
      <c r="T6" t="s">
        <v>1168</v>
      </c>
      <c r="W6" t="s">
        <v>1417</v>
      </c>
    </row>
    <row r="7" spans="1:25" x14ac:dyDescent="0.35">
      <c r="A7" s="1" t="s">
        <v>24</v>
      </c>
      <c r="B7" t="s">
        <v>1143</v>
      </c>
      <c r="I7" t="s">
        <v>1448</v>
      </c>
      <c r="J7" t="s">
        <v>1440</v>
      </c>
      <c r="P7" t="s">
        <v>1178</v>
      </c>
      <c r="W7" t="s">
        <v>1460</v>
      </c>
    </row>
    <row r="8" spans="1:25" x14ac:dyDescent="0.35">
      <c r="A8" s="1" t="s">
        <v>25</v>
      </c>
      <c r="B8" t="s">
        <v>1144</v>
      </c>
      <c r="I8" t="s">
        <v>1449</v>
      </c>
      <c r="J8" t="s">
        <v>1450</v>
      </c>
      <c r="P8" t="s">
        <v>1179</v>
      </c>
      <c r="W8" t="s">
        <v>1461</v>
      </c>
    </row>
    <row r="9" spans="1:25" x14ac:dyDescent="0.35">
      <c r="A9" s="1" t="s">
        <v>26</v>
      </c>
      <c r="B9" t="s">
        <v>1145</v>
      </c>
      <c r="I9" t="s">
        <v>1466</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28" workbookViewId="0">
      <selection activeCell="C14" sqref="C14"/>
    </sheetView>
  </sheetViews>
  <sheetFormatPr defaultRowHeight="14.5" x14ac:dyDescent="0.35"/>
  <sheetData>
    <row r="1" spans="1:10" x14ac:dyDescent="0.35">
      <c r="A1" t="s">
        <v>1436</v>
      </c>
      <c r="C1" t="s">
        <v>1470</v>
      </c>
    </row>
    <row r="2" spans="1:10" x14ac:dyDescent="0.35">
      <c r="A2" s="1" t="s">
        <v>4</v>
      </c>
      <c r="C2" s="2" t="s">
        <v>1471</v>
      </c>
    </row>
    <row r="3" spans="1:10" x14ac:dyDescent="0.35">
      <c r="A3" s="1" t="s">
        <v>5</v>
      </c>
      <c r="C3" s="2" t="s">
        <v>1472</v>
      </c>
    </row>
    <row r="4" spans="1:10" x14ac:dyDescent="0.35">
      <c r="A4" t="s">
        <v>6</v>
      </c>
      <c r="C4" t="s">
        <v>1429</v>
      </c>
    </row>
    <row r="5" spans="1:10" x14ac:dyDescent="0.35">
      <c r="A5" t="s">
        <v>7</v>
      </c>
      <c r="C5" t="s">
        <v>1473</v>
      </c>
    </row>
    <row r="6" spans="1:10" x14ac:dyDescent="0.35">
      <c r="A6" t="s">
        <v>0</v>
      </c>
      <c r="C6" t="s">
        <v>1474</v>
      </c>
    </row>
    <row r="7" spans="1:10" x14ac:dyDescent="0.35">
      <c r="A7" t="s">
        <v>1437</v>
      </c>
      <c r="C7" t="s">
        <v>1475</v>
      </c>
    </row>
    <row r="8" spans="1:10" x14ac:dyDescent="0.35">
      <c r="A8" t="s">
        <v>1438</v>
      </c>
      <c r="C8" t="s">
        <v>1476</v>
      </c>
    </row>
    <row r="9" spans="1:10" x14ac:dyDescent="0.35">
      <c r="A9" t="s">
        <v>1</v>
      </c>
      <c r="C9" t="s">
        <v>1419</v>
      </c>
      <c r="F9" t="s">
        <v>1421</v>
      </c>
      <c r="G9" t="s">
        <v>1422</v>
      </c>
      <c r="H9" t="s">
        <v>1423</v>
      </c>
      <c r="I9" t="s">
        <v>1424</v>
      </c>
      <c r="J9" t="s">
        <v>1417</v>
      </c>
    </row>
    <row r="10" spans="1:10" x14ac:dyDescent="0.35">
      <c r="A10" t="s">
        <v>8</v>
      </c>
      <c r="C10" t="s">
        <v>1477</v>
      </c>
    </row>
    <row r="11" spans="1:10" x14ac:dyDescent="0.35">
      <c r="A11" t="s">
        <v>2</v>
      </c>
      <c r="C11" t="s">
        <v>1478</v>
      </c>
    </row>
    <row r="12" spans="1:10" x14ac:dyDescent="0.35">
      <c r="A12" t="s">
        <v>1463</v>
      </c>
      <c r="C12" t="s">
        <v>1479</v>
      </c>
    </row>
    <row r="13" spans="1:10" x14ac:dyDescent="0.35">
      <c r="A13" t="s">
        <v>1445</v>
      </c>
      <c r="C13" t="s">
        <v>1480</v>
      </c>
    </row>
    <row r="14" spans="1:10" x14ac:dyDescent="0.35">
      <c r="A14" t="s">
        <v>1490</v>
      </c>
      <c r="C14" t="s">
        <v>1491</v>
      </c>
    </row>
    <row r="15" spans="1:10" x14ac:dyDescent="0.35">
      <c r="A15" t="s">
        <v>1442</v>
      </c>
      <c r="C15" t="s">
        <v>1488</v>
      </c>
    </row>
    <row r="16" spans="1:10" x14ac:dyDescent="0.35">
      <c r="A16" t="s">
        <v>3</v>
      </c>
      <c r="C16" t="s">
        <v>1481</v>
      </c>
    </row>
    <row r="17" spans="1:39" x14ac:dyDescent="0.35">
      <c r="A17" t="s">
        <v>9</v>
      </c>
      <c r="C17" t="s">
        <v>1482</v>
      </c>
    </row>
    <row r="18" spans="1:39" x14ac:dyDescent="0.35">
      <c r="A18" t="s">
        <v>10</v>
      </c>
      <c r="C18" t="s">
        <v>1483</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1453</v>
      </c>
      <c r="C24" t="s">
        <v>1484</v>
      </c>
    </row>
    <row r="25" spans="1:39" x14ac:dyDescent="0.35">
      <c r="A25" t="s">
        <v>1455</v>
      </c>
      <c r="C25" t="s">
        <v>1485</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1487</v>
      </c>
      <c r="C28" t="s">
        <v>1486</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2025-11-03T10:32:00Z</dcterms:modified>
</cp:coreProperties>
</file>