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984" documentId="11_AD4D5CB4E552A5DACE1C647E305F51585ADEDD82" xr6:coauthVersionLast="47" xr6:coauthVersionMax="47" xr10:uidLastSave="{9A3408CC-06C7-4F61-B224-8E1C9E276E1D}"/>
  <bookViews>
    <workbookView xWindow="9610" yWindow="0" windowWidth="9680" windowHeight="1137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alcChain>
</file>

<file path=xl/sharedStrings.xml><?xml version="1.0" encoding="utf-8"?>
<sst xmlns="http://schemas.openxmlformats.org/spreadsheetml/2006/main" count="1625" uniqueCount="1524">
  <si>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</si>
  <si>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</si>
  <si>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</si>
  <si>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</si>
  <si>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</si>
  <si>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</si>
  <si>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</si>
  <si>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</si>
  <si>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</si>
  <si>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</si>
  <si>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</si>
  <si>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</si>
  <si>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</si>
  <si>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</si>
  <si>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</si>
  <si>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</si>
  <si>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</si>
  <si>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</si>
  <si>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</si>
  <si>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</si>
  <si>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</si>
  <si>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</si>
  <si>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</si>
  <si>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</si>
  <si>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</si>
  <si>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</si>
  <si>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</si>
  <si>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</si>
  <si>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</si>
  <si>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</si>
  <si>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</si>
  <si>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</si>
  <si>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</si>
  <si>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</si>
  <si>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</si>
  <si>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</si>
  <si>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</si>
  <si>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</si>
  <si>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</si>
  <si>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</si>
  <si>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</si>
  <si>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</si>
  <si>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</si>
  <si>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</si>
  <si>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</si>
  <si>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</si>
  <si>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</si>
  <si>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</si>
  <si>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</si>
  <si>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</si>
  <si>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</si>
  <si>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</si>
  <si>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</si>
  <si>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</si>
  <si>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</si>
  <si>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</si>
  <si>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</si>
  <si>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</si>
  <si>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</si>
  <si>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</si>
  <si>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</si>
  <si>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</si>
  <si>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</si>
  <si>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</si>
  <si>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</si>
  <si>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</si>
  <si>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</si>
  <si>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</si>
  <si>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</si>
  <si>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</si>
  <si>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</si>
  <si>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</si>
  <si>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</si>
  <si>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</si>
  <si>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</si>
  <si>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</si>
  <si>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</si>
  <si>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</si>
  <si>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</si>
  <si>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</si>
  <si>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</si>
  <si>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</si>
  <si>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</si>
  <si>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</si>
  <si>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</si>
  <si>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</si>
  <si>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</si>
  <si>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</si>
  <si>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</si>
  <si>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</si>
  <si>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</si>
  <si>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</si>
  <si>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</si>
  <si>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</si>
  <si>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</si>
  <si>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</si>
  <si>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</si>
  <si>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</si>
  <si>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</si>
  <si>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</si>
  <si>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</si>
  <si>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</si>
  <si>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</si>
  <si>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</si>
  <si>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</si>
  <si>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</si>
  <si>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</si>
  <si>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</si>
  <si>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</si>
  <si>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</si>
  <si>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</si>
  <si>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</si>
  <si>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</si>
  <si>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</si>
  <si>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</si>
  <si>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</si>
  <si>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</si>
  <si>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</si>
  <si>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</si>
  <si>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</si>
  <si>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</si>
  <si>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</si>
  <si>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</si>
  <si>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</si>
  <si>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</si>
  <si>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</si>
  <si>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</si>
  <si>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</si>
  <si>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</si>
  <si>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</si>
  <si>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</si>
  <si>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</si>
  <si>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</si>
  <si>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</si>
  <si>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</si>
  <si>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</si>
  <si>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</si>
  <si>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</si>
  <si>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</si>
  <si>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</si>
  <si>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</si>
  <si>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</si>
  <si>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</si>
  <si>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</si>
  <si>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</si>
  <si>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</si>
  <si>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</si>
  <si>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</si>
  <si>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</si>
  <si>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</si>
  <si>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</si>
  <si>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</si>
  <si>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</si>
  <si>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</si>
  <si>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</si>
  <si>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</si>
  <si>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</si>
  <si>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</si>
  <si>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</si>
  <si>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</si>
  <si>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</si>
  <si>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</si>
  <si>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</si>
  <si>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</si>
  <si>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</si>
  <si>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</si>
  <si>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</si>
  <si>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</si>
  <si>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</si>
  <si>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</si>
  <si>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</si>
  <si>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</si>
  <si>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</si>
  <si>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</si>
  <si>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</si>
  <si>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</si>
  <si>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</si>
  <si>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</si>
  <si>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</si>
  <si>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</si>
  <si>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</si>
  <si>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</si>
  <si>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</si>
  <si>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</si>
  <si>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</si>
  <si>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</si>
  <si>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</si>
  <si>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</si>
  <si>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</si>
  <si>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</si>
  <si>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</si>
  <si>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</si>
  <si>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</si>
  <si>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</si>
  <si>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</si>
  <si>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</si>
  <si>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</si>
  <si>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</si>
  <si>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</si>
  <si>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</si>
  <si>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</si>
  <si>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</si>
  <si>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</si>
  <si>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</si>
  <si>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</si>
  <si>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</si>
  <si>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</si>
  <si>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</si>
  <si>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</si>
  <si>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</si>
  <si>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</si>
  <si>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</si>
  <si>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</si>
  <si>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</si>
  <si>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</si>
  <si>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</si>
  <si>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</si>
  <si>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</si>
  <si>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</si>
  <si>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</si>
  <si>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</si>
  <si>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</si>
  <si>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</si>
  <si>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</si>
  <si>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</si>
  <si>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</si>
  <si>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</si>
  <si>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</si>
  <si>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</si>
  <si>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</si>
  <si>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</si>
  <si>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</si>
  <si>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</si>
  <si>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</si>
  <si>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</si>
  <si>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</si>
  <si>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</si>
  <si>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</si>
  <si>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</si>
  <si>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</si>
  <si>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</si>
  <si>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</si>
  <si>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</si>
  <si>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</si>
  <si>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</si>
  <si>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</si>
  <si>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</si>
  <si>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</si>
  <si>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</si>
  <si>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</si>
  <si>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</si>
  <si>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</si>
  <si>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</si>
  <si>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</si>
  <si>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</si>
  <si>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</si>
  <si>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</si>
  <si>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</si>
  <si>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</si>
  <si>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</si>
  <si>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</si>
  <si>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</si>
  <si>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</si>
  <si>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</si>
  <si>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</si>
  <si>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</si>
  <si>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</si>
  <si>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</si>
  <si>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</si>
  <si>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</si>
  <si>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</si>
  <si>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</si>
  <si>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</si>
  <si>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</si>
  <si>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</si>
  <si>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</si>
  <si>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</si>
  <si>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</si>
  <si>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</si>
  <si>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</si>
  <si>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</si>
  <si>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</si>
  <si>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</si>
  <si>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</si>
  <si>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</si>
  <si>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</si>
  <si>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</si>
  <si>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</si>
  <si>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</si>
  <si>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</si>
  <si>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</si>
  <si>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</si>
  <si>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</si>
  <si>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</si>
  <si>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</si>
  <si>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</si>
  <si>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</si>
  <si>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</si>
  <si>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</si>
  <si>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</si>
  <si>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</si>
  <si>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</si>
  <si>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</si>
  <si>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</si>
  <si>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</si>
  <si>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</si>
  <si>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</si>
  <si>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</si>
  <si>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</si>
  <si>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</si>
  <si>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</si>
  <si>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</si>
  <si>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</si>
  <si>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</si>
  <si>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</si>
  <si>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</si>
  <si>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</si>
  <si>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</si>
  <si>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</si>
  <si>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</si>
  <si>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</si>
  <si>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</si>
  <si>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</si>
  <si>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</si>
  <si>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</si>
  <si>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</si>
  <si>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</si>
  <si>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</si>
  <si>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</si>
  <si>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</si>
  <si>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</si>
  <si>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</si>
  <si>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</si>
  <si>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</si>
  <si>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</si>
  <si>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</si>
  <si>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</si>
  <si>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</si>
  <si>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</si>
  <si>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</si>
  <si>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</si>
  <si>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</si>
  <si>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</si>
  <si>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</si>
  <si>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</si>
  <si>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</si>
  <si>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</si>
  <si>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</si>
  <si>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</si>
  <si>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</si>
  <si>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</si>
  <si>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</si>
  <si>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</si>
  <si>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</si>
  <si>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</si>
  <si>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</si>
  <si>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</si>
  <si>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</si>
  <si>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</si>
  <si>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</si>
  <si>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</si>
  <si>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</si>
  <si>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</si>
  <si>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</si>
  <si>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</si>
  <si>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</si>
  <si>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</si>
  <si>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</si>
  <si>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</si>
  <si>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</si>
  <si>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</si>
  <si>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</si>
  <si>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</si>
  <si>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</si>
  <si>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</si>
  <si>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</si>
  <si>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</si>
  <si>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</si>
  <si>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</si>
  <si>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</si>
  <si>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</si>
  <si>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</si>
  <si>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</si>
  <si>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</si>
  <si>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</si>
  <si>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</si>
  <si>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</si>
  <si>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</si>
  <si>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</si>
  <si>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</si>
  <si>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</si>
  <si>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</si>
  <si>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</si>
  <si>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</si>
  <si>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</si>
  <si>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</si>
  <si>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</si>
  <si>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</si>
  <si>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</si>
  <si>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</si>
  <si>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</si>
  <si>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</si>
  <si>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</si>
  <si>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</si>
  <si>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</si>
  <si>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</si>
  <si>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</si>
  <si>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</si>
  <si>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</si>
  <si>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</si>
  <si>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</si>
  <si>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</si>
  <si>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</si>
  <si>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</si>
  <si>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</si>
  <si>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</si>
  <si>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</si>
  <si>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</si>
  <si>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</si>
  <si>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</si>
  <si>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</si>
  <si>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</si>
  <si>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</si>
  <si>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</si>
  <si>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</si>
  <si>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</si>
  <si>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</si>
  <si>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</si>
  <si>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</si>
  <si>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</si>
  <si>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</si>
  <si>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</si>
  <si>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</si>
  <si>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</si>
  <si>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</si>
  <si>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</si>
  <si>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</si>
  <si>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</si>
  <si>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</si>
  <si>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</si>
  <si>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</si>
  <si>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</si>
  <si>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</si>
  <si>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</si>
  <si>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</si>
  <si>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</si>
  <si>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</si>
  <si>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</si>
  <si>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</si>
  <si>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</si>
  <si>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</si>
  <si>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</si>
  <si>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</si>
  <si>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</si>
  <si>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</si>
  <si>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</si>
  <si>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</si>
  <si>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</si>
  <si>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</si>
  <si>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</si>
  <si>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</si>
  <si>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</si>
  <si>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</si>
  <si>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</si>
  <si>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</si>
  <si>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</si>
  <si>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</si>
  <si>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</si>
  <si>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</si>
  <si>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</si>
  <si>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</si>
  <si>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</si>
  <si>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</si>
  <si>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</si>
  <si>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</si>
  <si>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</si>
  <si>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</si>
  <si>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</si>
  <si>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</si>
  <si>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</si>
  <si>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</si>
  <si>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</si>
  <si>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</si>
  <si>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</si>
  <si>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</si>
  <si>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</si>
  <si>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</si>
  <si>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</si>
  <si>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</si>
  <si>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</si>
  <si>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</si>
  <si>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</si>
  <si>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</si>
  <si>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</si>
  <si>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</si>
  <si>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</si>
  <si>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</si>
  <si>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</si>
  <si>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</si>
  <si>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</si>
  <si>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</si>
  <si>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</si>
  <si>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</si>
  <si>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</si>
  <si>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</si>
  <si>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</si>
  <si>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</si>
  <si>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</si>
  <si>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</si>
  <si>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</si>
  <si>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</si>
  <si>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</si>
  <si>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</si>
  <si>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</si>
  <si>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</si>
  <si>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</si>
  <si>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</si>
  <si>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</si>
  <si>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</si>
  <si>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</si>
  <si>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</si>
  <si>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</si>
  <si>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</si>
  <si>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</si>
  <si>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</si>
  <si>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</si>
  <si>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</si>
  <si>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</si>
  <si>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</si>
  <si>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</si>
  <si>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</si>
  <si>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</si>
  <si>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</si>
  <si>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</si>
  <si>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</si>
  <si>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</si>
  <si>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</si>
  <si>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</si>
  <si>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</si>
  <si>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</si>
  <si>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</si>
  <si>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</si>
  <si>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</si>
  <si>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</si>
  <si>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</si>
  <si>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</si>
  <si>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</si>
  <si>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</si>
  <si>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</si>
  <si>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</si>
  <si>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</si>
  <si>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</si>
  <si>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</si>
  <si>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</si>
  <si>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</si>
  <si>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</si>
  <si>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</si>
  <si>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</si>
  <si>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</si>
  <si>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</si>
  <si>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</si>
  <si>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</si>
  <si>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</si>
  <si>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</si>
  <si>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</si>
  <si>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</si>
  <si>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</si>
  <si>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</si>
  <si>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</si>
  <si>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</si>
  <si>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</si>
  <si>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</si>
  <si>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</si>
  <si>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</si>
  <si>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</si>
  <si>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</si>
  <si>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</si>
  <si>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</si>
  <si>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</si>
  <si>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</si>
  <si>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</si>
  <si>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</si>
  <si>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</si>
  <si>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</si>
  <si>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</si>
  <si>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</si>
  <si>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</si>
  <si>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</si>
  <si>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</si>
  <si>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</si>
  <si>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</si>
  <si>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</si>
  <si>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</si>
  <si>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</si>
  <si>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</si>
  <si>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</si>
  <si>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</si>
  <si>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</si>
  <si>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</si>
  <si>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</si>
  <si>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</si>
  <si>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</si>
  <si>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</si>
  <si>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</si>
  <si>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</si>
  <si>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</si>
  <si>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</si>
  <si>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</si>
  <si>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</si>
  <si>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</si>
  <si>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</si>
  <si>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</si>
  <si>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</si>
  <si>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</si>
  <si>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</si>
  <si>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</si>
  <si>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</si>
  <si>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</si>
  <si>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</si>
  <si>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</si>
  <si>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</si>
  <si>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</si>
  <si>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</si>
  <si>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</si>
  <si>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</si>
  <si>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</si>
  <si>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</si>
  <si>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</si>
  <si>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</si>
  <si>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</si>
  <si>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</si>
  <si>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</si>
  <si>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</si>
  <si>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</si>
  <si>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</si>
  <si>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</si>
  <si>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</si>
  <si>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</si>
  <si>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</si>
  <si>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</si>
  <si>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</si>
  <si>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</si>
  <si>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</si>
  <si>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</si>
  <si>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</si>
  <si>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</si>
  <si>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</si>
  <si>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</si>
  <si>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</si>
  <si>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</si>
  <si>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</si>
  <si>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</si>
  <si>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</si>
  <si>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</si>
  <si>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</si>
  <si>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</si>
  <si>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</si>
  <si>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</si>
  <si>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</si>
  <si>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</si>
  <si>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</si>
  <si>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</si>
  <si>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</si>
  <si>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</si>
  <si>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</si>
  <si>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</si>
  <si>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</si>
  <si>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</si>
  <si>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</si>
  <si>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</si>
  <si>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</si>
  <si>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</si>
  <si>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</si>
  <si>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</si>
  <si>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</si>
  <si>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</si>
  <si>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</si>
  <si>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</si>
  <si>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</si>
  <si>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</si>
  <si>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</si>
  <si>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</si>
  <si>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</si>
  <si>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</si>
  <si>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</si>
  <si>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</si>
  <si>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</si>
  <si>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</si>
  <si>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</si>
  <si>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</si>
  <si>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</si>
  <si>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</si>
  <si>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</si>
  <si>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</si>
  <si>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</si>
  <si>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</si>
  <si>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</si>
  <si>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</si>
  <si>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</si>
  <si>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</si>
  <si>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</si>
  <si>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</si>
  <si>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</si>
  <si>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</si>
  <si>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</si>
  <si>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</si>
  <si>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</si>
  <si>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</si>
  <si>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</si>
  <si>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</si>
  <si>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</si>
  <si>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</si>
  <si>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</si>
  <si>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</si>
  <si>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</si>
  <si>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</si>
  <si>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</si>
  <si>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</si>
  <si>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</si>
  <si>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</si>
  <si>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</si>
  <si>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</si>
  <si>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</si>
  <si>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</si>
  <si>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</si>
  <si>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</si>
  <si>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</si>
  <si>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</si>
  <si>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</si>
  <si>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</si>
  <si>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</si>
  <si>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</si>
  <si>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</si>
  <si>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</si>
  <si>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</si>
  <si>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</si>
  <si>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</si>
  <si>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</si>
  <si>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</si>
  <si>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</si>
  <si>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</si>
  <si>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</si>
  <si>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</si>
  <si>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</si>
  <si>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</si>
  <si>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</si>
  <si>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</si>
  <si>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</si>
  <si>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</si>
  <si>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</si>
  <si>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</si>
  <si>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</si>
  <si>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</si>
  <si>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</si>
  <si>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</si>
  <si>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</si>
  <si>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</si>
  <si>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</si>
  <si>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</si>
  <si>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</si>
  <si>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</si>
  <si>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</si>
  <si>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</si>
  <si>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</si>
  <si>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</si>
  <si>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</si>
  <si>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</si>
  <si>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</si>
  <si>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</si>
  <si>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</si>
  <si>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</si>
  <si>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</si>
  <si>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</si>
  <si>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</si>
  <si>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</si>
  <si>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</si>
  <si>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</si>
  <si>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</si>
  <si>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</si>
  <si>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</si>
  <si>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</si>
  <si>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</si>
  <si>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</si>
  <si>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</si>
  <si>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</si>
  <si>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</si>
  <si>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</si>
  <si>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</si>
  <si>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</si>
  <si>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</si>
  <si>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</si>
  <si>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</si>
  <si>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</si>
  <si>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</si>
  <si>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</si>
  <si>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</si>
  <si>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</si>
  <si>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</si>
  <si>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</si>
  <si>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</si>
  <si>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</si>
  <si>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</si>
  <si>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</si>
  <si>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</si>
  <si>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</si>
  <si>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</si>
  <si>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</si>
  <si>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</si>
  <si>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</si>
  <si>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</si>
  <si>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</si>
  <si>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</si>
  <si>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</si>
  <si>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</si>
  <si>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</si>
  <si>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</si>
  <si>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</si>
  <si>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</si>
  <si>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</si>
  <si>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</si>
  <si>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</si>
  <si>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</si>
  <si>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</si>
  <si>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</si>
  <si>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</si>
  <si>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</si>
  <si>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</si>
  <si>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</si>
  <si>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</si>
  <si>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</si>
  <si>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</si>
  <si>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</si>
  <si>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</si>
  <si>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</si>
  <si>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</si>
  <si>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</si>
  <si>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</si>
  <si>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</si>
  <si>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</si>
  <si>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</si>
  <si>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</si>
  <si>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</si>
  <si>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</si>
  <si>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</si>
  <si>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</si>
  <si>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</si>
  <si>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</si>
  <si>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</si>
  <si>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</si>
  <si>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</si>
  <si>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</si>
  <si>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</si>
  <si>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</si>
  <si>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</si>
  <si>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</si>
  <si>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</si>
  <si>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</si>
  <si>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</si>
  <si>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</si>
  <si>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</si>
  <si>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</si>
  <si>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</si>
  <si>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</si>
  <si>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</si>
  <si>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</si>
  <si>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</si>
  <si>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</si>
  <si>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</si>
  <si>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</si>
  <si>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</si>
  <si>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</si>
  <si>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</si>
  <si>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</si>
  <si>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</si>
  <si>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</si>
  <si>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</si>
  <si>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</si>
  <si>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</si>
  <si>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</si>
  <si>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</si>
  <si>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</si>
  <si>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</si>
  <si>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</si>
  <si>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</si>
  <si>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</si>
  <si>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</si>
  <si>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</si>
  <si>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</si>
  <si>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</si>
  <si>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</si>
  <si>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</si>
  <si>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</si>
  <si>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</si>
  <si>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</si>
  <si>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</si>
  <si>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</si>
  <si>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</si>
  <si>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</si>
  <si>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</si>
  <si>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</si>
  <si>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</si>
  <si>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</si>
  <si>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</si>
  <si>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</si>
  <si>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</si>
  <si>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</si>
  <si>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</si>
  <si>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</si>
  <si>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</si>
  <si>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</si>
  <si>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</si>
  <si>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</si>
  <si>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</si>
  <si>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</si>
  <si>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</si>
  <si>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</si>
  <si>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</si>
  <si>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</si>
  <si>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</si>
  <si>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</si>
  <si>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</si>
  <si>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</si>
  <si>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</si>
  <si>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</si>
  <si>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</si>
  <si>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</si>
  <si>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</si>
  <si>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</si>
  <si>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</si>
  <si>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</si>
  <si>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</si>
  <si>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</si>
  <si>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</si>
  <si>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</si>
  <si>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</si>
  <si>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</si>
  <si>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</si>
  <si>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</si>
  <si>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</si>
  <si>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</si>
  <si>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</si>
  <si>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</si>
  <si>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</si>
  <si>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</si>
  <si>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</si>
  <si>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</si>
  <si>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</si>
  <si>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</si>
  <si>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</si>
  <si>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</si>
  <si>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</si>
  <si>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</si>
  <si>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</si>
  <si>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</si>
  <si>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</si>
  <si>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</si>
  <si>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</si>
  <si>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</si>
  <si>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</si>
  <si>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</si>
  <si>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</si>
  <si>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</si>
  <si>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</si>
  <si>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</si>
  <si>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</si>
  <si>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</si>
  <si>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</si>
  <si>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</si>
  <si>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</si>
  <si>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</si>
  <si>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</si>
  <si>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</si>
  <si>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</si>
  <si>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</si>
  <si>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</si>
  <si>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</si>
  <si>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</si>
  <si>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</si>
  <si>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</si>
  <si>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</si>
  <si>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</si>
  <si>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</si>
  <si>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</si>
  <si>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</si>
  <si>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</si>
  <si>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</si>
  <si>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</si>
  <si>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</si>
  <si>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</si>
  <si>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</si>
  <si>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</si>
  <si>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</si>
  <si>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</si>
  <si>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</si>
  <si>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</si>
  <si>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</si>
  <si>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</si>
  <si>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</si>
  <si>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</si>
  <si>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</si>
  <si>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</si>
  <si>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</si>
  <si>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</si>
  <si>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</si>
  <si>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</si>
  <si>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</si>
  <si>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</si>
  <si>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</si>
  <si>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</si>
  <si>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</si>
  <si>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</si>
  <si>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</si>
  <si>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</si>
  <si>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</si>
  <si>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</si>
  <si>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</si>
  <si>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</si>
  <si>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</si>
  <si>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</si>
  <si>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</si>
  <si>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</si>
  <si>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</si>
  <si>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</si>
  <si>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</si>
  <si>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</si>
  <si>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</si>
  <si>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</si>
  <si>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</si>
  <si>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</si>
  <si>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</si>
  <si>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</si>
  <si>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</si>
  <si>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</si>
  <si>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</si>
  <si>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</si>
  <si>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</si>
  <si>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</si>
  <si>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</si>
  <si>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</si>
  <si>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</si>
  <si>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</si>
  <si>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</si>
  <si>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</si>
  <si>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</si>
  <si>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</si>
  <si>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</si>
  <si>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</si>
  <si>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</si>
  <si>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</si>
  <si>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</si>
  <si>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</si>
  <si>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</si>
  <si>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</si>
  <si>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</si>
  <si>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</si>
  <si>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</si>
  <si>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</si>
  <si>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</si>
  <si>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</si>
  <si>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</si>
  <si>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</si>
  <si>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</si>
  <si>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</si>
  <si>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</si>
  <si>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</si>
  <si>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</si>
  <si>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</si>
  <si>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</si>
  <si>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</si>
  <si>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</si>
  <si>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</si>
  <si>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</si>
  <si>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</si>
  <si>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</si>
  <si>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</si>
  <si>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</si>
  <si>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</si>
  <si>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</si>
  <si>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</si>
  <si>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</si>
  <si>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</si>
  <si>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</si>
  <si>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</si>
  <si>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</si>
  <si>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</si>
  <si>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</si>
  <si>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</si>
  <si>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</si>
  <si>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</si>
  <si>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</si>
  <si>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</si>
  <si>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</si>
  <si>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</si>
  <si>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</si>
  <si>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</si>
  <si>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</si>
  <si>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</si>
  <si>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</si>
  <si>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</si>
  <si>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</si>
  <si>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</si>
  <si>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</si>
  <si>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</si>
  <si>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</si>
  <si>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</si>
  <si>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</si>
  <si>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</si>
  <si>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</si>
  <si>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</si>
  <si>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</si>
  <si>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</si>
  <si>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</si>
  <si>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</si>
  <si>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</si>
  <si>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</si>
  <si>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</si>
  <si>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</si>
  <si>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</si>
  <si>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</si>
  <si>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</si>
  <si>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</si>
  <si>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</si>
  <si>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</si>
  <si>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</si>
  <si>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</si>
  <si>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</si>
  <si>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</si>
  <si>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</si>
  <si>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</si>
  <si>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</si>
  <si>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</si>
  <si>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</si>
  <si>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</si>
  <si>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</si>
  <si>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</si>
  <si>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</si>
  <si>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</si>
  <si>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</si>
  <si>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</si>
  <si>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</si>
  <si>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</si>
  <si>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</si>
  <si>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</si>
  <si>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</si>
  <si>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</si>
  <si>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</si>
  <si>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</si>
  <si>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</si>
  <si>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</si>
  <si>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</si>
  <si>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</si>
  <si>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</si>
  <si>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</si>
  <si>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</si>
  <si>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</si>
  <si>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</si>
  <si>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</si>
  <si>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</si>
  <si>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</si>
  <si>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</si>
  <si>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</si>
  <si>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</si>
  <si>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</si>
  <si>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</si>
  <si>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</si>
  <si>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</si>
  <si>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</si>
  <si>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</si>
  <si>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</si>
  <si>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</si>
  <si>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</si>
  <si>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</si>
  <si>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</si>
  <si>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</si>
  <si>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</si>
  <si>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</si>
  <si>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</si>
  <si>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</si>
  <si>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</si>
  <si>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</si>
  <si>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</si>
  <si>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</si>
  <si>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</si>
  <si>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</si>
  <si>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</si>
  <si>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</si>
  <si>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</si>
  <si>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</si>
  <si>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</si>
  <si>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</si>
  <si>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</si>
  <si>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</si>
  <si>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</si>
  <si>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</si>
  <si>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</si>
  <si>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</si>
  <si>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</si>
  <si>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</si>
  <si>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</si>
  <si>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</si>
  <si>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</si>
  <si>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</si>
  <si>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</si>
  <si>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</si>
  <si>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</si>
  <si>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</si>
  <si>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</si>
  <si>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</si>
  <si>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</si>
  <si>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</si>
  <si>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</si>
  <si>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</si>
  <si>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</si>
  <si>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</si>
  <si>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</si>
  <si>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</si>
  <si>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</si>
  <si>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</si>
  <si>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</si>
  <si>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</si>
  <si>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</si>
  <si>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</si>
  <si>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</si>
  <si>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</si>
  <si>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</si>
  <si>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</si>
  <si>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</si>
  <si>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</si>
  <si>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</si>
  <si>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</si>
  <si>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</si>
  <si>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</si>
  <si>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</si>
  <si>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</si>
  <si>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</si>
  <si>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</si>
  <si>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</si>
  <si>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</si>
  <si>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</si>
  <si>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</si>
  <si>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</si>
  <si>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</si>
  <si>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</si>
  <si>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</si>
  <si>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</si>
  <si>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</si>
  <si>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</si>
  <si>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</si>
  <si>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</si>
  <si>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</si>
  <si>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</si>
  <si>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</si>
  <si>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</si>
  <si>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</si>
  <si>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</si>
  <si>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</si>
  <si>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</si>
  <si>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</si>
  <si>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</si>
  <si>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</si>
  <si>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</si>
  <si>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</si>
  <si>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</si>
  <si>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</si>
  <si>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</si>
  <si>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</si>
  <si>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</si>
  <si>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</si>
  <si>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</si>
  <si>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</si>
  <si>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</si>
  <si>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</si>
  <si>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</si>
  <si>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</si>
  <si>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</si>
  <si>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</si>
  <si>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</si>
  <si>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</si>
  <si>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</si>
  <si>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</si>
  <si>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</si>
  <si>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</si>
  <si>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</si>
  <si>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</si>
  <si>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</si>
  <si>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</si>
  <si>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</si>
  <si>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</si>
  <si>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</si>
  <si>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</si>
  <si>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</si>
  <si>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</si>
  <si>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</si>
  <si>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</si>
  <si>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</si>
  <si>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</si>
  <si>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</si>
  <si>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</si>
  <si>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</si>
  <si>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</si>
  <si>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</si>
  <si>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</si>
  <si>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</si>
  <si>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</si>
  <si>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</si>
  <si>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</si>
  <si>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</si>
  <si>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</si>
  <si>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</si>
  <si>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</si>
  <si>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</si>
  <si>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</si>
  <si>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</si>
  <si>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</si>
  <si>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</si>
  <si>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</si>
  <si>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</si>
  <si>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</si>
  <si>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</si>
  <si>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</si>
  <si>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</si>
  <si>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</si>
  <si>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</si>
  <si>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</si>
  <si>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</si>
  <si>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</si>
  <si>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</si>
  <si>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</si>
  <si>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</si>
  <si>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</si>
  <si>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</si>
  <si>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</si>
  <si>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</si>
  <si>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</si>
  <si>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</si>
  <si>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</si>
  <si>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</si>
  <si>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</si>
  <si>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</si>
  <si>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</si>
  <si>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</si>
  <si>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</si>
  <si>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</si>
  <si>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</si>
  <si>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</si>
  <si>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</si>
  <si>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</si>
  <si>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</si>
  <si>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</si>
  <si>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</si>
  <si>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</si>
  <si>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</si>
  <si>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</si>
  <si>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</si>
  <si>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</si>
  <si>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</si>
  <si>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</si>
  <si>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</si>
  <si>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</si>
  <si>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</si>
  <si>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</si>
  <si>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</si>
  <si>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</si>
  <si>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</si>
  <si>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</si>
  <si>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</si>
  <si>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</si>
  <si>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</si>
  <si>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</si>
  <si>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</si>
  <si>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</si>
  <si>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</si>
  <si>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</si>
  <si>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</si>
  <si>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</si>
  <si>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</si>
  <si>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</si>
  <si>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</si>
  <si>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</si>
  <si>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</si>
  <si>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</si>
  <si>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</si>
  <si>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</si>
  <si>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</si>
  <si>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</si>
  <si>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</si>
  <si>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</si>
  <si>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</si>
  <si>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</si>
  <si>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</si>
  <si>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</si>
  <si>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</si>
  <si>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</si>
  <si>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</si>
  <si>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</si>
  <si>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</si>
  <si>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</si>
  <si>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</si>
  <si>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</si>
  <si>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</si>
  <si>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</si>
  <si>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</si>
  <si>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</si>
  <si>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</si>
  <si>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</si>
  <si>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</si>
  <si>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</si>
  <si>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</si>
  <si>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</si>
  <si>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</si>
  <si>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</si>
  <si>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</si>
  <si>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</si>
  <si>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</si>
  <si>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</si>
  <si>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</si>
  <si>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</si>
  <si>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</si>
  <si>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</si>
  <si>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</si>
  <si>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</si>
  <si>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</si>
  <si>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</si>
  <si>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</si>
  <si>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</si>
  <si>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</si>
  <si>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</si>
  <si>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</si>
  <si>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</si>
  <si>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</si>
  <si>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</si>
  <si>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</si>
  <si>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</si>
  <si>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</si>
  <si>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</si>
  <si>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</si>
  <si>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</si>
  <si>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</si>
  <si>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</si>
  <si>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</si>
  <si>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</si>
  <si>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</si>
  <si>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</si>
  <si>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</si>
  <si>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</si>
  <si>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</si>
  <si>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</si>
  <si>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</si>
  <si>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</si>
  <si>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</si>
  <si>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</si>
  <si>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</si>
  <si>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</si>
  <si>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</si>
  <si>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</si>
  <si>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</si>
  <si>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</si>
  <si>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</si>
  <si>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</si>
  <si>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</si>
  <si>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</si>
  <si>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</si>
  <si>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</si>
  <si>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</si>
  <si>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</si>
  <si>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</si>
  <si>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</si>
  <si>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</si>
  <si>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</si>
  <si>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</si>
  <si>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</si>
  <si>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</si>
  <si>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</si>
  <si>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</si>
  <si>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</si>
  <si>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</si>
  <si>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</si>
  <si>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</si>
  <si>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</si>
  <si>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</si>
  <si>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</si>
  <si>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</si>
  <si>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</si>
  <si>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</si>
  <si>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</si>
  <si>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</si>
  <si>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</si>
  <si>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</si>
  <si>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</si>
  <si>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</si>
  <si>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dataQuality</t>
  </si>
  <si>
    <t>TF</t>
  </si>
  <si>
    <t>bessi45dualrating</t>
  </si>
  <si>
    <t>Which social contexts best predict adolescents' social-emotional skills: Combining machine learning and traditional statistics</t>
  </si>
  <si>
    <t>The hidden redundancy in psychological trait measures: A general factor of personality (GFP) perspective</t>
  </si>
  <si>
    <t>Understanding Academic Adjustment in Undergraduates With SLD or ADHD: An Integrative Model of Social-Emotional-Behavioral Skills, Academic Self-Efficacy, and Self-Regulated Learning</t>
  </si>
  <si>
    <t>Network analysis of Chinese and Finnish students' social-emotional skills: A cross-cultural comparative study</t>
  </si>
  <si>
    <t>Family Socioeconomic Status, Student Activity Participation, and Socio-Emotional Skills: Evidence from Final-Year Undergraduates in Shandong, China</t>
  </si>
  <si>
    <t>Social-emotional skills have been demonstrated to be crucial for adolescents' success in the 21st century. However, past studies have primarily focused on the consequences of these skills, with little attention devoted to understanding the factors that could facilitate these skills. This gap prevents educators from targeting the most important factors that could lead to improvements in adolescents' social-emotional skills. To address this gap, this study aimed to examine the role of distinct family, school, peer, and community factors in predicting adolescents' social-emotional skills. We utilized data from the Organization for Economic Co-operation and Development's Survey on Social and Emotional Skills, including 29,798 15-year-olds from nine countries. An integrative modeling approach that combined machine learning (i.e., Extra Gradient Boost) and traditional statistics (i.e., hierarchical linear modeling) was used to rank the relative importance of factors in predicting adolescents' social-emotional skills. Results revealed that school belonging was, by far, the most important predictor of all the different types of social-emotional skills. Other important predictors included social connectedness, school cooperation, and parents' socialemotional skills. This study not only highlights the complexity of factors that might be associated with adolescents' social-emotional skills but also provides empirical evidence to help educators identify the most effective targets for educational interventions.</t>
  </si>
  <si>
    <t>In psychology there is a plethora of different measures and constructs. However, the literature also shows that many of these measures overlap and may even sometimes be redundant. Recognizing such overlap in measures is essential for consolidation and for moving the field forward. Accordingly, we suggest a role herein of the General Factor of Personality (GFP), which emerges from the correlations between specific personality dimensions and reflects a mix of desirable traits (e.g. being sociable, honest, and emotionally stable). It is argued and shown that the GFP is highly correlated with a wide range of psychological traits. We further postulate that this phenomenon provides a parsimonious way of looking at the overlap between many trait measures. This idea is discussed in light of the ongoing debate on the GFP in which some scholars suggest the general factor is substantive and relevant for understanding personality, whereas others consider it to solely reflect a measurement artifact. Irrespective of whether the substantive, artifact, or a mixed explanation of the GFP is adopted, overlooking the presence of a common general factor in psychological measures may, respectively, either impede the development of unifying theories of human behavior, or otherwise compromise measurement validity.</t>
  </si>
  <si>
    <t>Students with specific learning disorders (SLD) and/or attention-deficit/hyperactivity disorder (ADHD) often face challenges in higher education</t>
  </si>
  <si>
    <t>Social-emotional skills (SES) are foundational to academic success and well-being, yet limited research has examined how these skills are structurally organized as an interconnected system across cultural contexts. Drawing on data from the 2023 OECD Survey on Social and Emotional Skills (SSES</t>
  </si>
  <si>
    <t>This study examines the associations among family socioeconomic status (SES), student activity participation (SAP), and selected socio-emotional skill domains among final-year undergraduates, with SAP tested as a statistical mediator. Guided by Astin's I-E-O model and Bourdieu's capital theory, SAP is framed as an educational experience through which family background may be associated with differences in student development. Survey responses from 571 undergraduates at public universities in Shandong Province, China, were analyzed using SPSS 26 and AMOS 24. Structural equation modelling (SEM) was used to estimate the structural associations, and bootstrapping was used to test the indirect association through SAP. SES was positively associated with both SAP and socio-emotional skills, and SAP was positively associated with socio-emotional skills. The bootstrap analysis indicated a significant partial statistical mediation pattern. These findings suggest that family background remains associated with students' socio-emotional development in higher education and with access to student activity experiences. SAP may therefore represent one pathway through which SES-related differences are statistically linked to selected interpersonal and intrapersonal skill domains. Because the study is cross-sectional, the mediation results should be interpreted as associations rather than evidence of temporal or causal transmission. Â© The Author(s) 2026.</t>
  </si>
  <si>
    <t>JOURNAL OF SCHOOL PSYCHOLOGY</t>
  </si>
  <si>
    <t>PERSONALITY AND INDIVIDUAL DIFFERENCES</t>
  </si>
  <si>
    <t>LEARNING DISABILITIES RESEARCH \&amp; PRACTICE</t>
  </si>
  <si>
    <t>JOURNAL OF PSYCHOLOGY IN AFRICA</t>
  </si>
  <si>
    <t>Asian Journal of Interdisciplinary Research</t>
  </si>
  <si>
    <t>Zhang, Jianhua and Wang, Faming and King, Ronnel B. and Garbacz, Andy</t>
  </si>
  <si>
    <t>van der Linden, Dimitri and Dunkel, Curtis S. and Mansolf, Maxwell and Chen, Zhuo Job and Musek, Janek and Petrides, V, K.</t>
  </si>
  <si>
    <t>Sharabi, Adi</t>
  </si>
  <si>
    <t>Zhang, Shuai and Wu, Wenxi and Wu, Jiheng and Chen, Ge and Zhao, Rui and Xu, Binyan</t>
  </si>
  <si>
    <t>Li, Xiaoyu and Bin Awang, Mohd Mahzan and Abdul Rahim, Syafiqah</t>
  </si>
  <si>
    <t>https://doi.org/10.1016/j.jsp.2026.101554</t>
  </si>
  <si>
    <t>https://doi.org/10.1016/j.paid.2026.114085</t>
  </si>
  <si>
    <t>https://doi.org/10.1177/09388982261483237</t>
  </si>
  <si>
    <t>https://doi.org/10.32604/jpa.2026.076330</t>
  </si>
  <si>
    <t>Li et al.</t>
  </si>
  <si>
    <t>Zhang et al.</t>
  </si>
  <si>
    <t>Sharabi</t>
  </si>
  <si>
    <t>van der Linden et al.</t>
  </si>
  <si>
    <t>adi.sharabi@smkb.ac.il</t>
  </si>
  <si>
    <t>academicachievement; schoolsatisfaction; learningdisabilities; learningfactors</t>
  </si>
  <si>
    <t>specific learning disabilities; adhd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</si>
</sst>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49" fontId="0" fillId="2" borderId="0" xfId="0" applyNumberFormat="1" applyFill="1"/>
    <xf numFmtId="0" fontId="0" fillId="2" borderId="0" xfId="0" applyFill="1"/>
    <xf numFmtId="0" fontId="2" fillId="2" borderId="0" xfId="1" applyFill="1"/>
    <xf numFmtId="14" fontId="0" fillId="2" borderId="0" xfId="0" applyNumberFormat="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77/09388982261483237" TargetMode="External"/><Relationship Id="rId2" Type="http://schemas.openxmlformats.org/officeDocument/2006/relationships/hyperlink" Target="https://doi.org/10.1016/j.paid.2026.114085" TargetMode="External"/><Relationship Id="rId1" Type="http://schemas.openxmlformats.org/officeDocument/2006/relationships/hyperlink" Target="https://doi.org/10.1016/j.jsp.2026.101554" TargetMode="External"/><Relationship Id="rId6" Type="http://schemas.openxmlformats.org/officeDocument/2006/relationships/printerSettings" Target="../printerSettings/printerSettings1.bin"/><Relationship Id="rId5" Type="http://schemas.openxmlformats.org/officeDocument/2006/relationships/hyperlink" Target="mailto:adi.sharabi@smkb.ac.il" TargetMode="External"/><Relationship Id="rId4" Type="http://schemas.openxmlformats.org/officeDocument/2006/relationships/hyperlink" Target="https://doi.org/10.32604/jpa.2026.07633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95"/>
  <sheetViews>
    <sheetView tabSelected="1" zoomScale="85" zoomScaleNormal="85" workbookViewId="0">
      <pane xSplit="2" ySplit="1" topLeftCell="C2" activePane="bottomRight" state="frozen"/>
      <selection pane="topRight" activeCell="C1" sqref="C1"/>
      <selection pane="bottomLeft" activeCell="A2" sqref="A2"/>
      <selection pane="bottomRight" activeCell="D8" sqref="D8"/>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5" customFormat="1" x14ac:dyDescent="0.35">
      <c r="A2" s="7">
        <v>46266</v>
      </c>
      <c r="B2" s="4" t="s">
        <v>157</v>
      </c>
      <c r="C2" s="4"/>
      <c r="D2" s="5" t="str">
        <f t="shared" ref="D2:D20" si="0">B2&amp;""&amp;C2</f>
        <v>0139</v>
      </c>
      <c r="E2" s="6" t="s">
        <v>1513</v>
      </c>
      <c r="F2" s="5" t="s">
        <v>1493</v>
      </c>
      <c r="G2" s="5" t="s">
        <v>1498</v>
      </c>
      <c r="H2" s="5" t="s">
        <v>1503</v>
      </c>
      <c r="I2" s="5" t="s">
        <v>1508</v>
      </c>
      <c r="J2" s="5" t="s">
        <v>1518</v>
      </c>
      <c r="K2" s="5">
        <v>2026</v>
      </c>
      <c r="L2" s="5" t="s">
        <v>1446</v>
      </c>
      <c r="M2" s="5" t="s">
        <v>1443</v>
      </c>
      <c r="O2" s="5" t="s">
        <v>1445</v>
      </c>
      <c r="AC2" s="5" t="s">
        <v>1491</v>
      </c>
    </row>
    <row r="3" spans="1:31" s="5" customFormat="1" x14ac:dyDescent="0.35">
      <c r="A3" s="7">
        <v>46266</v>
      </c>
      <c r="B3" s="4" t="s">
        <v>158</v>
      </c>
      <c r="C3" s="4"/>
      <c r="D3" s="5" t="str">
        <f t="shared" si="0"/>
        <v>0140</v>
      </c>
      <c r="E3" s="6" t="s">
        <v>1514</v>
      </c>
      <c r="F3" s="5" t="s">
        <v>1494</v>
      </c>
      <c r="G3" s="5" t="s">
        <v>1499</v>
      </c>
      <c r="H3" s="5" t="s">
        <v>1504</v>
      </c>
      <c r="I3" s="5" t="s">
        <v>1509</v>
      </c>
      <c r="J3" s="5" t="s">
        <v>1520</v>
      </c>
      <c r="K3" s="5">
        <v>2027</v>
      </c>
      <c r="L3" s="5" t="s">
        <v>1462</v>
      </c>
      <c r="M3" s="5" t="s">
        <v>1423</v>
      </c>
      <c r="O3" s="5" t="s">
        <v>1445</v>
      </c>
      <c r="AC3" s="5" t="s">
        <v>1491</v>
      </c>
    </row>
    <row r="4" spans="1:31" s="5" customFormat="1" x14ac:dyDescent="0.35">
      <c r="A4" s="7">
        <v>46266</v>
      </c>
      <c r="B4" s="4" t="s">
        <v>159</v>
      </c>
      <c r="C4" s="4"/>
      <c r="D4" s="5" t="str">
        <f t="shared" si="0"/>
        <v>0141</v>
      </c>
      <c r="E4" s="6" t="s">
        <v>1515</v>
      </c>
      <c r="F4" s="5" t="s">
        <v>1495</v>
      </c>
      <c r="G4" s="5" t="s">
        <v>1500</v>
      </c>
      <c r="H4" s="5" t="s">
        <v>1505</v>
      </c>
      <c r="I4" s="5" t="s">
        <v>1510</v>
      </c>
      <c r="J4" s="5" t="s">
        <v>1519</v>
      </c>
      <c r="K4" s="5">
        <v>2026</v>
      </c>
      <c r="L4" s="5" t="s">
        <v>1455</v>
      </c>
      <c r="M4" s="5" t="s">
        <v>1455</v>
      </c>
      <c r="N4" s="5" t="s">
        <v>1522</v>
      </c>
      <c r="O4" s="5" t="s">
        <v>1486</v>
      </c>
      <c r="P4" s="6" t="s">
        <v>1521</v>
      </c>
      <c r="R4" s="5" t="s">
        <v>1161</v>
      </c>
      <c r="S4" s="5" t="s">
        <v>1276</v>
      </c>
      <c r="T4" s="5">
        <v>73</v>
      </c>
      <c r="U4" s="5">
        <v>25.25</v>
      </c>
      <c r="V4" s="5">
        <v>651</v>
      </c>
      <c r="W4" s="5" t="s">
        <v>1166</v>
      </c>
      <c r="X4" s="5" t="s">
        <v>1451</v>
      </c>
      <c r="Y4" s="5" t="s">
        <v>1523</v>
      </c>
      <c r="Z4" s="5" t="s">
        <v>1172</v>
      </c>
      <c r="AA4" s="5" t="s">
        <v>1173</v>
      </c>
      <c r="AC4" s="5" t="s">
        <v>1491</v>
      </c>
    </row>
    <row r="5" spans="1:31" s="5" customFormat="1" x14ac:dyDescent="0.35">
      <c r="A5" s="7">
        <v>46266</v>
      </c>
      <c r="B5" s="4" t="s">
        <v>160</v>
      </c>
      <c r="C5" s="4"/>
      <c r="D5" s="5" t="str">
        <f t="shared" si="0"/>
        <v>0142</v>
      </c>
      <c r="E5" s="6" t="s">
        <v>1516</v>
      </c>
      <c r="F5" s="5" t="s">
        <v>1496</v>
      </c>
      <c r="G5" s="5" t="s">
        <v>1501</v>
      </c>
      <c r="H5" s="5" t="s">
        <v>1506</v>
      </c>
      <c r="I5" s="5" t="s">
        <v>1511</v>
      </c>
      <c r="J5" s="5" t="s">
        <v>1518</v>
      </c>
      <c r="K5" s="5">
        <v>2026</v>
      </c>
      <c r="L5" s="5" t="s">
        <v>1446</v>
      </c>
      <c r="M5" s="5" t="s">
        <v>1443</v>
      </c>
      <c r="O5" s="5" t="s">
        <v>1445</v>
      </c>
      <c r="AC5" s="5" t="s">
        <v>1491</v>
      </c>
    </row>
    <row r="6" spans="1:31" s="5" customFormat="1" x14ac:dyDescent="0.35">
      <c r="A6" s="7">
        <v>46266</v>
      </c>
      <c r="B6" s="4" t="s">
        <v>161</v>
      </c>
      <c r="C6" s="4"/>
      <c r="D6" s="5" t="str">
        <f t="shared" si="0"/>
        <v>0143</v>
      </c>
      <c r="F6" s="5" t="s">
        <v>1497</v>
      </c>
      <c r="G6" s="5" t="s">
        <v>1502</v>
      </c>
      <c r="H6" s="5" t="s">
        <v>1507</v>
      </c>
      <c r="I6" s="5" t="s">
        <v>1512</v>
      </c>
      <c r="J6" s="5" t="s">
        <v>1517</v>
      </c>
      <c r="K6" s="5">
        <v>2026</v>
      </c>
      <c r="L6" s="5" t="s">
        <v>1447</v>
      </c>
      <c r="M6" s="5" t="s">
        <v>1443</v>
      </c>
      <c r="O6" s="5" t="s">
        <v>1445</v>
      </c>
      <c r="AC6" s="5" t="s">
        <v>1491</v>
      </c>
    </row>
    <row r="7" spans="1:31" x14ac:dyDescent="0.35">
      <c r="D7" t="str">
        <f t="shared" si="0"/>
        <v/>
      </c>
    </row>
    <row r="8" spans="1:31" x14ac:dyDescent="0.35">
      <c r="D8" t="str">
        <f t="shared" si="0"/>
        <v/>
      </c>
    </row>
    <row r="9" spans="1:31" x14ac:dyDescent="0.35">
      <c r="D9" t="str">
        <f t="shared" si="0"/>
        <v/>
      </c>
    </row>
    <row r="10" spans="1:31" x14ac:dyDescent="0.35">
      <c r="D10" t="str">
        <f t="shared" si="0"/>
        <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ref="D21:D84" si="1">B21&amp;""&amp;C21</f>
        <v/>
      </c>
    </row>
    <row r="22" spans="4:4" x14ac:dyDescent="0.35">
      <c r="D22" t="str">
        <f t="shared" si="1"/>
        <v/>
      </c>
    </row>
    <row r="23" spans="4:4" x14ac:dyDescent="0.35">
      <c r="D23" t="str">
        <f t="shared" si="1"/>
        <v/>
      </c>
    </row>
    <row r="24" spans="4:4" x14ac:dyDescent="0.35">
      <c r="D24" t="str">
        <f t="shared" si="1"/>
        <v/>
      </c>
    </row>
    <row r="25" spans="4:4" x14ac:dyDescent="0.35">
      <c r="D25" t="str">
        <f t="shared" si="1"/>
        <v/>
      </c>
    </row>
    <row r="26" spans="4:4" x14ac:dyDescent="0.35">
      <c r="D26" t="str">
        <f t="shared" si="1"/>
        <v/>
      </c>
    </row>
    <row r="27" spans="4:4" x14ac:dyDescent="0.35">
      <c r="D27" t="str">
        <f t="shared" si="1"/>
        <v/>
      </c>
    </row>
    <row r="28" spans="4:4" x14ac:dyDescent="0.35">
      <c r="D28" t="str">
        <f t="shared" si="1"/>
        <v/>
      </c>
    </row>
    <row r="29" spans="4:4" x14ac:dyDescent="0.35">
      <c r="D29" t="str">
        <f t="shared" si="1"/>
        <v/>
      </c>
    </row>
    <row r="30" spans="4:4" x14ac:dyDescent="0.35">
      <c r="D30" t="str">
        <f t="shared" si="1"/>
        <v/>
      </c>
    </row>
    <row r="31" spans="4:4" x14ac:dyDescent="0.35">
      <c r="D31" t="str">
        <f t="shared" si="1"/>
        <v/>
      </c>
    </row>
    <row r="32" spans="4:4" x14ac:dyDescent="0.35">
      <c r="D32" t="str">
        <f t="shared" si="1"/>
        <v/>
      </c>
    </row>
    <row r="33" spans="4:4" x14ac:dyDescent="0.35">
      <c r="D33" t="str">
        <f t="shared" si="1"/>
        <v/>
      </c>
    </row>
    <row r="34" spans="4:4" x14ac:dyDescent="0.35">
      <c r="D34" t="str">
        <f t="shared" si="1"/>
        <v/>
      </c>
    </row>
    <row r="35" spans="4:4" x14ac:dyDescent="0.35">
      <c r="D35" t="str">
        <f t="shared" si="1"/>
        <v/>
      </c>
    </row>
    <row r="36" spans="4:4" x14ac:dyDescent="0.35">
      <c r="D36" t="str">
        <f t="shared" si="1"/>
        <v/>
      </c>
    </row>
    <row r="37" spans="4:4" x14ac:dyDescent="0.35">
      <c r="D37" t="str">
        <f t="shared" si="1"/>
        <v/>
      </c>
    </row>
    <row r="38" spans="4:4" x14ac:dyDescent="0.35">
      <c r="D38" t="str">
        <f t="shared" si="1"/>
        <v/>
      </c>
    </row>
    <row r="39" spans="4:4" x14ac:dyDescent="0.35">
      <c r="D39" t="str">
        <f t="shared" si="1"/>
        <v/>
      </c>
    </row>
    <row r="40" spans="4:4" x14ac:dyDescent="0.35">
      <c r="D40" t="str">
        <f t="shared" si="1"/>
        <v/>
      </c>
    </row>
    <row r="41" spans="4:4" x14ac:dyDescent="0.35">
      <c r="D41" t="str">
        <f t="shared" si="1"/>
        <v/>
      </c>
    </row>
    <row r="42" spans="4:4" x14ac:dyDescent="0.35">
      <c r="D42" t="str">
        <f t="shared" si="1"/>
        <v/>
      </c>
    </row>
    <row r="43" spans="4:4" x14ac:dyDescent="0.35">
      <c r="D43" t="str">
        <f t="shared" si="1"/>
        <v/>
      </c>
    </row>
    <row r="44" spans="4:4" x14ac:dyDescent="0.35">
      <c r="D44" t="str">
        <f t="shared" si="1"/>
        <v/>
      </c>
    </row>
    <row r="45" spans="4:4" x14ac:dyDescent="0.35">
      <c r="D45" t="str">
        <f t="shared" si="1"/>
        <v/>
      </c>
    </row>
    <row r="46" spans="4:4" x14ac:dyDescent="0.35">
      <c r="D46" t="str">
        <f t="shared" si="1"/>
        <v/>
      </c>
    </row>
    <row r="47" spans="4:4" x14ac:dyDescent="0.35">
      <c r="D47" t="str">
        <f t="shared" si="1"/>
        <v/>
      </c>
    </row>
    <row r="48" spans="4:4" x14ac:dyDescent="0.35">
      <c r="D48" t="str">
        <f t="shared" si="1"/>
        <v/>
      </c>
    </row>
    <row r="49" spans="4:4" x14ac:dyDescent="0.35">
      <c r="D49" t="str">
        <f t="shared" si="1"/>
        <v/>
      </c>
    </row>
    <row r="50" spans="4:4" x14ac:dyDescent="0.35">
      <c r="D50" t="str">
        <f t="shared" si="1"/>
        <v/>
      </c>
    </row>
    <row r="51" spans="4:4" x14ac:dyDescent="0.35">
      <c r="D51" t="str">
        <f t="shared" si="1"/>
        <v/>
      </c>
    </row>
    <row r="52" spans="4:4" x14ac:dyDescent="0.35">
      <c r="D52" t="str">
        <f t="shared" si="1"/>
        <v/>
      </c>
    </row>
    <row r="53" spans="4:4" x14ac:dyDescent="0.35">
      <c r="D53" t="str">
        <f t="shared" si="1"/>
        <v/>
      </c>
    </row>
    <row r="54" spans="4:4" x14ac:dyDescent="0.35">
      <c r="D54" t="str">
        <f t="shared" si="1"/>
        <v/>
      </c>
    </row>
    <row r="55" spans="4:4" x14ac:dyDescent="0.35">
      <c r="D55" t="str">
        <f t="shared" si="1"/>
        <v/>
      </c>
    </row>
    <row r="56" spans="4:4" x14ac:dyDescent="0.35">
      <c r="D56" t="str">
        <f t="shared" si="1"/>
        <v/>
      </c>
    </row>
    <row r="57" spans="4:4" x14ac:dyDescent="0.35">
      <c r="D57" t="str">
        <f t="shared" si="1"/>
        <v/>
      </c>
    </row>
    <row r="58" spans="4:4" x14ac:dyDescent="0.35">
      <c r="D58" t="str">
        <f t="shared" si="1"/>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ref="D85:D95" si="2">B85&amp;""&amp;C85</f>
        <v/>
      </c>
    </row>
    <row r="86" spans="4:4" x14ac:dyDescent="0.35">
      <c r="D86" t="str">
        <f t="shared" si="2"/>
        <v/>
      </c>
    </row>
    <row r="87" spans="4:4" x14ac:dyDescent="0.35">
      <c r="D87" t="str">
        <f t="shared" si="2"/>
        <v/>
      </c>
    </row>
    <row r="88" spans="4:4" x14ac:dyDescent="0.35">
      <c r="D88" t="str">
        <f t="shared" si="2"/>
        <v/>
      </c>
    </row>
    <row r="89" spans="4:4" x14ac:dyDescent="0.35">
      <c r="D89" t="str">
        <f t="shared" si="2"/>
        <v/>
      </c>
    </row>
    <row r="90" spans="4:4" x14ac:dyDescent="0.35">
      <c r="D90" t="str">
        <f t="shared" si="2"/>
        <v/>
      </c>
    </row>
    <row r="91" spans="4:4" x14ac:dyDescent="0.35">
      <c r="D91" t="str">
        <f t="shared" si="2"/>
        <v/>
      </c>
    </row>
    <row r="92" spans="4:4" x14ac:dyDescent="0.35">
      <c r="D92" t="str">
        <f t="shared" si="2"/>
        <v/>
      </c>
    </row>
    <row r="93" spans="4:4" x14ac:dyDescent="0.35">
      <c r="D93" t="str">
        <f t="shared" si="2"/>
        <v/>
      </c>
    </row>
    <row r="94" spans="4:4" x14ac:dyDescent="0.35">
      <c r="D94" t="str">
        <f t="shared" si="2"/>
        <v/>
      </c>
    </row>
    <row r="95" spans="4:4" x14ac:dyDescent="0.35">
      <c r="D95" t="str">
        <f t="shared" si="2"/>
        <v/>
      </c>
    </row>
  </sheetData>
  <autoFilter ref="A1:AE1" xr:uid="{00000000-0001-0000-0000-000000000000}"/>
  <phoneticPr fontId="1" type="noConversion"/>
  <dataValidations count="1">
    <dataValidation type="whole" allowBlank="1" showInputMessage="1" showErrorMessage="1" sqref="K2:K1257" xr:uid="{F8524D51-D2D8-47F0-889D-CF24F2B60A7D}">
      <formula1>2020</formula1>
      <formula2>2040</formula2>
    </dataValidation>
  </dataValidations>
  <hyperlinks>
    <hyperlink ref="E2" r:id="rId1" xr:uid="{23A42A41-B8B9-4180-889A-7C06FF37CD12}"/>
    <hyperlink ref="E3" r:id="rId2" xr:uid="{7EBC1580-C5E5-4BCB-8C43-3751ADA81123}"/>
    <hyperlink ref="E4" r:id="rId3" xr:uid="{64617726-A317-4A93-A048-0CCB6F287C1C}"/>
    <hyperlink ref="E5" r:id="rId4" xr:uid="{F2C66FFD-CC5A-4EBD-AE54-D11DBAF4A220}"/>
    <hyperlink ref="P4" r:id="rId5" xr:uid="{5643D31C-3A9A-4CC6-B252-5231B2CA6A0A}"/>
  </hyperlinks>
  <pageMargins left="0.7" right="0.7" top="0.75" bottom="0.75" header="0.3" footer="0.3"/>
  <pageSetup paperSize="9" orientation="portrait" r:id="rId6"/>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X353:X898 W2:W898</xm:sqref>
        </x14:dataValidation>
        <x14:dataValidation type="list" allowBlank="1" showInputMessage="1" showErrorMessage="1" xr:uid="{5F145DC8-02F8-4CE9-9040-821D00C32E47}">
          <x14:formula1>
            <xm:f>options!B1315:B2434</xm:f>
          </x14:formula1>
          <xm:sqref>B7:B1144</xm:sqref>
        </x14:dataValidation>
        <x14:dataValidation type="list" allowBlank="1" showInputMessage="1" showErrorMessage="1" xr:uid="{BEBF39FF-702B-4ABB-A589-6D4D7378CF4B}">
          <x14:formula1>
            <xm:f>options!$A$2:$A$112121</xm:f>
          </x14:formula1>
          <xm:sqref>B2:B6</xm:sqref>
        </x14:dataValidation>
        <x14:dataValidation type="list" allowBlank="1" showInputMessage="1" showErrorMessage="1" xr:uid="{73622D16-B875-48DA-8FEF-B515FBFE0CD9}">
          <x14:formula1>
            <xm:f>options!$B$2:$B$22</xm:f>
          </x14:formula1>
          <xm:sqref>C2:C1050</xm:sqref>
        </x14:dataValidation>
        <x14:dataValidation type="list" allowBlank="1" showInputMessage="1" showErrorMessage="1" xr:uid="{457573A4-3B1E-4F5B-99D6-3289E91A02EE}">
          <x14:formula1>
            <xm:f>options!$L$2:$L$7</xm:f>
          </x14:formula1>
          <xm:sqref>O2:O1066</xm:sqref>
        </x14:dataValidation>
        <x14:dataValidation type="list" allowBlank="1" showInputMessage="1" showErrorMessage="1" xr:uid="{ABFFB021-3A02-409D-9301-E0134C4E0168}">
          <x14:formula1>
            <xm:f>options!$I$2:$I$19</xm:f>
          </x14:formula1>
          <xm:sqref>L2:L1312</xm:sqref>
        </x14:dataValidation>
        <x14:dataValidation type="list" allowBlank="1" showInputMessage="1" showErrorMessage="1" xr:uid="{83972B6B-CA01-43FD-BEFD-AAE363E3BAA0}">
          <x14:formula1>
            <xm:f>options!$J$2:$J$27</xm:f>
          </x14:formula1>
          <xm:sqref>M2:M1036</xm:sqref>
        </x14:dataValidation>
        <x14:dataValidation type="list" allowBlank="1" showInputMessage="1" showErrorMessage="1" xr:uid="{EFCAB99E-06E1-41AD-A61B-D5D0CA9D5E9E}">
          <x14:formula1>
            <xm:f>options!$O$2:$O$16</xm:f>
          </x14:formula1>
          <xm:sqref>R2:R1144</xm:sqref>
        </x14:dataValidation>
        <x14:dataValidation type="list" allowBlank="1" showInputMessage="1" showErrorMessage="1" xr:uid="{1ECEBC84-E5EE-4D00-8FBF-A12F4235A6AE}">
          <x14:formula1>
            <xm:f>options!$P$2:$P$465</xm:f>
          </x14:formula1>
          <xm:sqref>S2:S1201</xm:sqref>
        </x14:dataValidation>
        <x14:dataValidation type="list" allowBlank="1" showInputMessage="1" showErrorMessage="1" xr:uid="{A4CB52C2-24DD-480D-9C81-281827D0352F}">
          <x14:formula1>
            <xm:f>options!$W$2:$W$37</xm:f>
          </x14:formula1>
          <xm:sqref>Z2:Z888</xm:sqref>
        </x14:dataValidation>
        <x14:dataValidation type="list" allowBlank="1" showInputMessage="1" showErrorMessage="1" xr:uid="{343D6D5F-6D69-4FB4-BDFA-B2BDA31BAC91}">
          <x14:formula1>
            <xm:f>options!$X$2:$X$24</xm:f>
          </x14:formula1>
          <xm:sqref>AA2:AA890</xm:sqref>
        </x14:dataValidation>
        <x14:dataValidation type="list" allowBlank="1" showInputMessage="1" showErrorMessage="1" xr:uid="{ABF61035-FDD9-4029-BEFD-117D3A689719}">
          <x14:formula1>
            <xm:f>options!$Y$2:$Y$16</xm:f>
          </x14:formula1>
          <xm:sqref>AB2:AB892</xm:sqref>
        </x14:dataValidation>
        <x14:dataValidation type="list" allowBlank="1" showInputMessage="1" showErrorMessage="1" xr:uid="{5EDCACA3-D906-4B8C-A7FB-4512358B78BB}">
          <x14:formula1>
            <xm:f>options!$U$2:$U$8</xm:f>
          </x14:formula1>
          <xm:sqref>X2:X352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topLeftCell="L1" workbookViewId="0">
      <selection activeCell="W9" sqref="W9"/>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1490</v>
      </c>
      <c r="P9" t="s">
        <v>1180</v>
      </c>
      <c r="W9" t="s">
        <v>1492</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20" sqref="C20"/>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2026-10-08T09:06:55Z</dcterms:modified>
</cp:coreProperties>
</file>