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134" documentId="11_AD4D5CB4E552A5DACE1C647E305F51585ADEDD82" xr6:coauthVersionLast="47" xr6:coauthVersionMax="47" xr10:uidLastSave="{61120601-B69C-4F65-B866-3C26ED30C651}"/>
  <bookViews>
    <workbookView xWindow="2868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I5" i="1"/>
  <c r="D4" i="1"/>
  <c r="M1" i="1" s="1"/>
  <c r="J3" i="1"/>
  <c r="J2" i="1"/>
  <c r="M6" i="1"/>
  <c r="M4" i="1"/>
  <c r="M5" i="1"/>
  <c r="M3" i="1"/>
  <c r="M2" i="1"/>
  <c r="D3" i="1"/>
  <c r="I3" i="1" s="1"/>
  <c r="I2" i="1"/>
  <c r="M8" i="1" s="1"/>
  <c r="D2" i="1"/>
  <c r="M9" i="1" l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<sst xmlns="http://schemas.openxmlformats.org/spreadsheetml/2006/main" count="18" uniqueCount="18">
  <si>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</si>
  <si>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</si>
  <si>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</si>
  <si>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</si>
  <si>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</si>
  <si>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</si>
  <si>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</si>
  <si>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total_meta</t>
  </si>
  <si>
    <t>total_included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</si>
  <si>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</si>
  <si>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</si>
  <si>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</si>
  <si>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</si>
  <si>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</si>
  <si>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</si>
  <si>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</si>
  <si>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</si>
  <si>
    <t>4.review_only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</si>
</sst>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selection activeCell="E6" sqref="E6"/>
    </sheetView>
  </sheetViews>
  <sheetFormatPr defaultRowHeight="14.5" x14ac:dyDescent="0.35"/>
  <cols>
    <col min="1" max="1" width="10.81640625" bestFit="1" customWidth="1"/>
    <col min="5" max="5" width="14.08984375" bestFit="1" customWidth="1"/>
    <col min="6" max="6" width="14.90625" bestFit="1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</v>
      </c>
      <c r="I1" t="s">
        <v>8</v>
      </c>
      <c r="J1" t="s">
        <v>7</v>
      </c>
      <c r="L1" s="2" t="s">
        <v>9</v>
      </c>
      <c r="M1">
        <f>SUM(D2:D30)</f>
        <v>342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42</v>
      </c>
      <c r="H2">
        <v>6</v>
      </c>
      <c r="I2">
        <f>D2-E2-F2-G2</f>
        <v>17</v>
      </c>
      <c r="J2">
        <f>(I2-H2)</f>
        <v>11</v>
      </c>
      <c r="L2" t="s">
        <v>10</v>
      </c>
      <c r="M2">
        <f>SUM(B2:B30)</f>
        <v>181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>(I3-H3)</f>
        <v>2</v>
      </c>
      <c r="L3" t="s">
        <v>11</v>
      </c>
      <c r="M3">
        <f>SUM(C2:C30)</f>
        <v>161</v>
      </c>
    </row>
    <row r="4" spans="1:13" x14ac:dyDescent="0.35">
      <c r="A4" s="1">
        <v>45901</v>
      </c>
      <c r="B4">
        <v>22</v>
      </c>
      <c r="C4">
        <v>25</v>
      </c>
      <c r="D4">
        <f>SUM(B4,C4)</f>
        <v>47</v>
      </c>
      <c r="E4">
        <v>21</v>
      </c>
      <c r="F4">
        <v>17</v>
      </c>
      <c r="G4">
        <v>8</v>
      </c>
      <c r="H4">
        <v>1</v>
      </c>
      <c r="I4">
        <v>2</v>
      </c>
      <c r="J4">
        <f t="shared" ref="J4:J5" si="0">(I4-H4)</f>
        <v>1</v>
      </c>
      <c r="L4" t="s">
        <v>12</v>
      </c>
      <c r="M4">
        <f>SUM(E2:E30)</f>
        <v>152</v>
      </c>
    </row>
    <row r="5" spans="1:13" x14ac:dyDescent="0.35">
      <c r="A5" s="1">
        <v>45962</v>
      </c>
      <c r="B5">
        <v>7</v>
      </c>
      <c r="C5">
        <v>6</v>
      </c>
      <c r="D5">
        <v>13</v>
      </c>
      <c r="E5">
        <v>4</v>
      </c>
      <c r="F5">
        <v>1</v>
      </c>
      <c r="G5">
        <v>6</v>
      </c>
      <c r="H5">
        <v>0</v>
      </c>
      <c r="I5">
        <f t="shared" ref="I5" si="1">D5-E5-F5-G5</f>
        <v>2</v>
      </c>
      <c r="J5">
        <f t="shared" si="0"/>
        <v>2</v>
      </c>
      <c r="L5" t="s">
        <v>13</v>
      </c>
      <c r="M5">
        <f>SUM(F2:F30)</f>
        <v>93</v>
      </c>
    </row>
    <row r="6" spans="1:13" x14ac:dyDescent="0.35">
      <c r="A6" s="1">
        <v>45992</v>
      </c>
      <c r="B6">
        <v>6</v>
      </c>
      <c r="C6">
        <v>0</v>
      </c>
      <c r="D6">
        <v>6</v>
      </c>
      <c r="E6">
        <v>0</v>
      </c>
      <c r="F6">
        <v>2</v>
      </c>
      <c r="G6">
        <v>0</v>
      </c>
      <c r="H6">
        <v>0</v>
      </c>
      <c r="I6">
        <v>0</v>
      </c>
      <c r="J6">
        <v>0</v>
      </c>
      <c r="L6" t="s">
        <v>14</v>
      </c>
      <c r="M6">
        <f>SUM(G2:G30)</f>
        <v>68</v>
      </c>
    </row>
    <row r="7" spans="1:13" x14ac:dyDescent="0.35">
      <c r="A7" s="1">
        <v>46023</v>
      </c>
      <c r="B7">
        <v>9</v>
      </c>
      <c r="C7">
        <v>7</v>
      </c>
      <c r="D7"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v>0</v>
      </c>
    </row>
    <row r="8" spans="1:13" x14ac:dyDescent="0.35">
      <c r="L8" t="s">
        <v>15</v>
      </c>
      <c r="M8">
        <f>SUM(I2:I30)</f>
        <v>26</v>
      </c>
    </row>
    <row r="9" spans="1:13" x14ac:dyDescent="0.35">
      <c r="L9" t="s">
        <v>16</v>
      </c>
      <c r="M9">
        <f>SUM(J2:J300)</f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feraco</dc:creator>
  <cp:lastModifiedBy>Tommaso Feraco</cp:lastModifiedBy>
  <dcterms:created xsi:type="dcterms:W3CDTF">2015-06-05T18:19:34Z</dcterms:created>
  <dcterms:modified xsi:type="dcterms:W3CDTF">2026-01-21T15:33:09Z</dcterms:modified>
</cp:coreProperties>
</file>