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unipdit-my.sharepoint.com/personal/tommaso_feraco_unipd_it/Documents/BESSI/living_SEB_review/materials/"/>
    </mc:Choice>
  </mc:AlternateContent>
  <xr:revisionPtr revIDLastSave="255" documentId="11_AD4D5CB4E552A5DACE1C647E305F51585ADEDD82" xr6:coauthVersionLast="47" xr6:coauthVersionMax="47" xr10:uidLastSave="{C67A374F-B1DE-46CF-A8EF-E8E9A8DE1A3E}"/>
  <bookViews>
    <workbookView xWindow="-110" yWindow="-110" windowWidth="19420" windowHeight="11500" xr2:uid="{00000000-000D-0000-FFFF-FFFF00000000}"/>
  </bookViews>
  <sheets>
    <sheet name="Foglio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1" l="1"/>
  <c r="J15" i="1"/>
  <c r="J16" i="1"/>
  <c r="J17" i="1"/>
  <c r="J13" i="1"/>
  <c r="D14" i="1"/>
  <c r="D15" i="1"/>
  <c r="D16" i="1"/>
  <c r="D17" i="1"/>
  <c r="J12" i="1"/>
  <c r="D12" i="1"/>
  <c r="J11" i="1"/>
  <c r="D11" i="1"/>
  <c r="D6" i="1"/>
  <c r="D7" i="1"/>
  <c r="D8" i="1"/>
  <c r="D9" i="1"/>
  <c r="D10" i="1"/>
  <c r="D4" i="1"/>
  <c r="D5" i="1"/>
  <c r="I5" i="1" s="1"/>
  <c r="J5" i="1" s="1"/>
  <c r="J10" i="1"/>
  <c r="M6" i="1"/>
  <c r="J4" i="1"/>
  <c r="J6" i="1"/>
  <c r="J7" i="1"/>
  <c r="J8" i="1"/>
  <c r="J9" i="1"/>
  <c r="M4" i="1"/>
  <c r="M5" i="1"/>
  <c r="M3" i="1"/>
  <c r="M2" i="1"/>
  <c r="D3" i="1"/>
  <c r="I3" i="1" s="1"/>
  <c r="J3" i="1" s="1"/>
  <c r="D2" i="1"/>
  <c r="I2" i="1" s="1"/>
  <c r="M1" i="1" l="1"/>
  <c r="M7" i="1"/>
  <c r="J2" i="1"/>
  <c r="M8" i="1" s="1"/>
</calcChain>
</file>

<file path=xl/sharedStrings.xml><?xml version="1.0" encoding="utf-8"?>
<sst xmlns="http://schemas.openxmlformats.org/spreadsheetml/2006/main" count="18" uniqueCount="18">
  <si>
    <t>date</t>
  </si>
  <si>
    <t>scopus</t>
  </si>
  <si>
    <t>wos</t>
  </si>
  <si>
    <t>0.total</t>
  </si>
  <si>
    <t>1.rm_duplicates</t>
  </si>
  <si>
    <t>2.rm_abstracting</t>
  </si>
  <si>
    <t>3.rm_fulldecision</t>
  </si>
  <si>
    <t>4.review_only</t>
  </si>
  <si>
    <t>total_included</t>
  </si>
  <si>
    <t>total_meta</t>
  </si>
  <si>
    <t>TOTAL</t>
  </si>
  <si>
    <t>SCOPUS</t>
  </si>
  <si>
    <t>WOS</t>
  </si>
  <si>
    <t>DUPLICATED REMOVAL</t>
  </si>
  <si>
    <t>ABSTRACTING REMOVAL</t>
  </si>
  <si>
    <t>FULLTEXT REMOVAL</t>
  </si>
  <si>
    <t>INCLUDED</t>
  </si>
  <si>
    <t>INCLUDED META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</si>
</sst>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zoomScaleNormal="100" workbookViewId="0">
      <pane ySplit="1" topLeftCell="A5" activePane="bottomLeft" state="frozen"/>
      <selection pane="bottomLeft" activeCell="J17" sqref="J17"/>
    </sheetView>
  </sheetViews>
  <sheetFormatPr defaultRowHeight="14.5" x14ac:dyDescent="0.35"/>
  <cols>
    <col min="1" max="1" width="10.90625" bestFit="1" customWidth="1"/>
    <col min="5" max="5" width="14.08984375" bestFit="1" customWidth="1"/>
    <col min="6" max="6" width="14.90625" bestFit="1" customWidth="1"/>
    <col min="8" max="8" width="14.54296875" customWidth="1"/>
    <col min="12" max="12" width="23.4531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s="2" t="s">
        <v>10</v>
      </c>
      <c r="M1">
        <f>SUM(D2:D32)</f>
        <v>597</v>
      </c>
    </row>
    <row r="2" spans="1:13" x14ac:dyDescent="0.35">
      <c r="A2" s="1">
        <v>45688</v>
      </c>
      <c r="B2">
        <v>117</v>
      </c>
      <c r="C2">
        <v>106</v>
      </c>
      <c r="D2">
        <f>B2+C2</f>
        <v>223</v>
      </c>
      <c r="E2">
        <v>100</v>
      </c>
      <c r="F2">
        <v>64</v>
      </c>
      <c r="G2">
        <v>40</v>
      </c>
      <c r="H2">
        <v>7</v>
      </c>
      <c r="I2">
        <f>D2-E2-F2-G2</f>
        <v>19</v>
      </c>
      <c r="J2">
        <f>(I2-H2)</f>
        <v>12</v>
      </c>
      <c r="L2" t="s">
        <v>11</v>
      </c>
      <c r="M2">
        <f>SUM(B2:B32)</f>
        <v>366</v>
      </c>
    </row>
    <row r="3" spans="1:13" x14ac:dyDescent="0.35">
      <c r="A3" s="1">
        <v>45777</v>
      </c>
      <c r="B3">
        <v>20</v>
      </c>
      <c r="C3">
        <v>17</v>
      </c>
      <c r="D3">
        <f>B3+C3</f>
        <v>37</v>
      </c>
      <c r="E3">
        <v>20</v>
      </c>
      <c r="F3">
        <v>6</v>
      </c>
      <c r="G3">
        <v>6</v>
      </c>
      <c r="H3">
        <v>3</v>
      </c>
      <c r="I3">
        <f>D3-E3-F3-G3</f>
        <v>5</v>
      </c>
      <c r="J3">
        <f t="shared" ref="J3:J17" si="0">(I3-H3)</f>
        <v>2</v>
      </c>
      <c r="L3" t="s">
        <v>12</v>
      </c>
      <c r="M3">
        <f>SUM(C2:C32)</f>
        <v>229</v>
      </c>
    </row>
    <row r="4" spans="1:13" x14ac:dyDescent="0.35">
      <c r="A4" s="1">
        <v>45901</v>
      </c>
      <c r="B4">
        <v>22</v>
      </c>
      <c r="C4">
        <v>25</v>
      </c>
      <c r="D4">
        <f t="shared" ref="D4:D10" si="1">B4+C4</f>
        <v>47</v>
      </c>
      <c r="E4">
        <v>21</v>
      </c>
      <c r="F4">
        <v>17</v>
      </c>
      <c r="G4">
        <v>7</v>
      </c>
      <c r="H4">
        <v>1</v>
      </c>
      <c r="I4">
        <v>2</v>
      </c>
      <c r="J4">
        <f t="shared" si="0"/>
        <v>1</v>
      </c>
      <c r="L4" t="s">
        <v>13</v>
      </c>
      <c r="M4">
        <f>SUM(E2:E32)</f>
        <v>216</v>
      </c>
    </row>
    <row r="5" spans="1:13" x14ac:dyDescent="0.35">
      <c r="A5" s="1">
        <v>45962</v>
      </c>
      <c r="B5">
        <v>7</v>
      </c>
      <c r="C5">
        <v>6</v>
      </c>
      <c r="D5">
        <f t="shared" si="1"/>
        <v>13</v>
      </c>
      <c r="E5">
        <v>4</v>
      </c>
      <c r="F5">
        <v>1</v>
      </c>
      <c r="G5">
        <v>8</v>
      </c>
      <c r="H5">
        <v>0</v>
      </c>
      <c r="I5">
        <f t="shared" ref="I5" si="2">D5-E5-F5-G5</f>
        <v>0</v>
      </c>
      <c r="J5">
        <f t="shared" si="0"/>
        <v>0</v>
      </c>
      <c r="L5" t="s">
        <v>14</v>
      </c>
      <c r="M5">
        <f>SUM(F2:F32)</f>
        <v>233</v>
      </c>
    </row>
    <row r="6" spans="1:13" x14ac:dyDescent="0.35">
      <c r="A6" s="1">
        <v>45992</v>
      </c>
      <c r="B6">
        <v>6</v>
      </c>
      <c r="C6">
        <v>0</v>
      </c>
      <c r="D6">
        <f t="shared" si="1"/>
        <v>6</v>
      </c>
      <c r="E6">
        <v>0</v>
      </c>
      <c r="F6">
        <v>2</v>
      </c>
      <c r="G6">
        <v>2</v>
      </c>
      <c r="H6">
        <v>0</v>
      </c>
      <c r="I6">
        <v>2</v>
      </c>
      <c r="J6">
        <f t="shared" si="0"/>
        <v>2</v>
      </c>
      <c r="L6" t="s">
        <v>15</v>
      </c>
      <c r="M6">
        <f>SUM(G2:G32)</f>
        <v>100</v>
      </c>
    </row>
    <row r="7" spans="1:13" x14ac:dyDescent="0.35">
      <c r="A7" s="1">
        <v>46023</v>
      </c>
      <c r="B7">
        <v>9</v>
      </c>
      <c r="C7">
        <v>7</v>
      </c>
      <c r="D7">
        <f t="shared" si="1"/>
        <v>16</v>
      </c>
      <c r="E7">
        <v>7</v>
      </c>
      <c r="F7">
        <v>3</v>
      </c>
      <c r="G7">
        <v>6</v>
      </c>
      <c r="H7">
        <v>0</v>
      </c>
      <c r="I7">
        <v>0</v>
      </c>
      <c r="J7">
        <f t="shared" si="0"/>
        <v>0</v>
      </c>
      <c r="L7" s="2" t="s">
        <v>16</v>
      </c>
      <c r="M7">
        <f>SUM(I2:I32)</f>
        <v>47</v>
      </c>
    </row>
    <row r="8" spans="1:13" x14ac:dyDescent="0.35">
      <c r="A8" s="1">
        <v>46054</v>
      </c>
      <c r="B8">
        <v>6</v>
      </c>
      <c r="C8">
        <v>3</v>
      </c>
      <c r="D8">
        <f t="shared" si="1"/>
        <v>9</v>
      </c>
      <c r="E8">
        <v>4</v>
      </c>
      <c r="F8">
        <v>1</v>
      </c>
      <c r="G8">
        <v>3</v>
      </c>
      <c r="H8">
        <v>0</v>
      </c>
      <c r="I8">
        <v>1</v>
      </c>
      <c r="J8">
        <f t="shared" si="0"/>
        <v>1</v>
      </c>
      <c r="L8" s="2" t="s">
        <v>17</v>
      </c>
      <c r="M8">
        <f>SUM(J2:J302)</f>
        <v>30</v>
      </c>
    </row>
    <row r="9" spans="1:13" x14ac:dyDescent="0.35">
      <c r="A9" s="1">
        <v>46082</v>
      </c>
      <c r="B9">
        <v>8</v>
      </c>
      <c r="C9">
        <v>5</v>
      </c>
      <c r="D9">
        <f t="shared" si="1"/>
        <v>13</v>
      </c>
      <c r="E9">
        <v>6</v>
      </c>
      <c r="F9">
        <v>3</v>
      </c>
      <c r="G9">
        <v>3</v>
      </c>
      <c r="H9">
        <v>0</v>
      </c>
      <c r="I9">
        <v>1</v>
      </c>
      <c r="J9">
        <f t="shared" si="0"/>
        <v>1</v>
      </c>
    </row>
    <row r="10" spans="1:13" x14ac:dyDescent="0.35">
      <c r="A10" s="1">
        <v>46113</v>
      </c>
      <c r="B10">
        <v>15</v>
      </c>
      <c r="C10">
        <v>2</v>
      </c>
      <c r="D10">
        <f t="shared" si="1"/>
        <v>17</v>
      </c>
      <c r="E10">
        <v>0</v>
      </c>
      <c r="F10">
        <v>17</v>
      </c>
      <c r="G10">
        <v>0</v>
      </c>
      <c r="H10">
        <v>0</v>
      </c>
      <c r="I10">
        <v>0</v>
      </c>
      <c r="J10">
        <f t="shared" si="0"/>
        <v>0</v>
      </c>
    </row>
    <row r="11" spans="1:13" x14ac:dyDescent="0.35">
      <c r="A11" s="1">
        <v>46143</v>
      </c>
      <c r="B11">
        <v>20</v>
      </c>
      <c r="C11">
        <v>17</v>
      </c>
      <c r="D11">
        <f>B11+C11</f>
        <v>37</v>
      </c>
      <c r="E11">
        <v>13</v>
      </c>
      <c r="F11">
        <v>18</v>
      </c>
      <c r="G11">
        <v>3</v>
      </c>
      <c r="H11">
        <v>0</v>
      </c>
      <c r="I11">
        <v>3</v>
      </c>
      <c r="J11">
        <f t="shared" si="0"/>
        <v>3</v>
      </c>
    </row>
    <row r="12" spans="1:13" x14ac:dyDescent="0.35">
      <c r="A12" s="1">
        <v>46174</v>
      </c>
      <c r="B12">
        <v>28</v>
      </c>
      <c r="C12">
        <v>8</v>
      </c>
      <c r="D12">
        <f>B12+C12</f>
        <v>36</v>
      </c>
      <c r="E12">
        <v>7</v>
      </c>
      <c r="F12">
        <v>23</v>
      </c>
      <c r="G12">
        <v>4</v>
      </c>
      <c r="H12">
        <v>2</v>
      </c>
      <c r="I12">
        <v>2</v>
      </c>
      <c r="J12">
        <f t="shared" si="0"/>
        <v>0</v>
      </c>
    </row>
    <row r="13" spans="1:13" x14ac:dyDescent="0.35">
      <c r="A13" s="1">
        <v>46204</v>
      </c>
      <c r="B13">
        <v>40</v>
      </c>
      <c r="C13">
        <v>6</v>
      </c>
      <c r="D13">
        <v>48</v>
      </c>
      <c r="E13">
        <v>11</v>
      </c>
      <c r="F13">
        <v>27</v>
      </c>
      <c r="G13">
        <v>7</v>
      </c>
      <c r="H13">
        <v>1</v>
      </c>
      <c r="I13">
        <v>3</v>
      </c>
      <c r="J13">
        <f t="shared" si="0"/>
        <v>2</v>
      </c>
    </row>
    <row r="14" spans="1:13" x14ac:dyDescent="0.35">
      <c r="A14" s="1">
        <v>46235</v>
      </c>
      <c r="B14">
        <v>28</v>
      </c>
      <c r="C14">
        <v>9</v>
      </c>
      <c r="D14">
        <f t="shared" ref="D14:D17" si="3">B14+C14</f>
        <v>37</v>
      </c>
      <c r="E14">
        <v>7</v>
      </c>
      <c r="F14">
        <v>21</v>
      </c>
      <c r="G14">
        <v>4</v>
      </c>
      <c r="H14">
        <v>3</v>
      </c>
      <c r="I14">
        <v>5</v>
      </c>
      <c r="J14">
        <f t="shared" si="0"/>
        <v>2</v>
      </c>
    </row>
    <row r="15" spans="1:13" x14ac:dyDescent="0.35">
      <c r="A15" s="1">
        <v>46266</v>
      </c>
      <c r="B15">
        <v>21</v>
      </c>
      <c r="C15">
        <v>9</v>
      </c>
      <c r="D15">
        <f t="shared" si="3"/>
        <v>30</v>
      </c>
      <c r="E15">
        <v>6</v>
      </c>
      <c r="F15">
        <v>17</v>
      </c>
      <c r="G15">
        <v>3</v>
      </c>
      <c r="H15">
        <v>0</v>
      </c>
      <c r="I15">
        <v>3</v>
      </c>
      <c r="J15">
        <f t="shared" si="0"/>
        <v>3</v>
      </c>
    </row>
    <row r="16" spans="1:13" x14ac:dyDescent="0.35">
      <c r="A16" s="1">
        <v>46296</v>
      </c>
      <c r="B16">
        <v>19</v>
      </c>
      <c r="C16">
        <v>9</v>
      </c>
      <c r="D16">
        <f t="shared" si="3"/>
        <v>28</v>
      </c>
      <c r="E16">
        <v>10</v>
      </c>
      <c r="F16">
        <v>13</v>
      </c>
      <c r="G16">
        <v>4</v>
      </c>
      <c r="H16">
        <v>0</v>
      </c>
      <c r="I16">
        <v>1</v>
      </c>
      <c r="J16">
        <f t="shared" si="0"/>
        <v>1</v>
      </c>
    </row>
    <row r="17" spans="4:10" x14ac:dyDescent="0.35">
      <c r="D17">
        <f t="shared" si="3"/>
        <v>0</v>
      </c>
      <c r="J17">
        <f t="shared" si="0"/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feraco</dc:creator>
  <cp:keywords/>
  <dc:description/>
  <cp:lastModifiedBy>Tommaso Feraco</cp:lastModifiedBy>
  <cp:revision/>
  <dcterms:created xsi:type="dcterms:W3CDTF">2015-06-05T18:19:34Z</dcterms:created>
  <dcterms:modified xsi:type="dcterms:W3CDTF">2026-10-08T08:46:22Z</dcterms:modified>
  <cp:category/>
  <cp:contentStatus/>
</cp:coreProperties>
</file>